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xr:revisionPtr revIDLastSave="0" documentId="13_ncr:1_{9F383C6D-985D-4596-8563-1269DF62D973}" xr6:coauthVersionLast="47" xr6:coauthVersionMax="47" xr10:uidLastSave="{00000000-0000-0000-0000-000000000000}"/>
  <bookViews>
    <workbookView xWindow="5620" yWindow="900" windowWidth="15980" windowHeight="11620" xr2:uid="{ADF335B3-DC6E-4FDC-BED4-2CA0225921D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E2" i="1" s="1"/>
  <c r="B10" i="1"/>
  <c r="B9" i="1"/>
  <c r="B8" i="1"/>
  <c r="B7" i="1"/>
  <c r="B6" i="1"/>
  <c r="B5" i="1"/>
  <c r="B4" i="1"/>
  <c r="B3" i="1"/>
  <c r="B2" i="1"/>
  <c r="E7" i="1" l="1"/>
  <c r="F7" i="1" s="1"/>
  <c r="E3" i="1"/>
  <c r="F3" i="1" s="1"/>
  <c r="E4" i="1"/>
  <c r="F4" i="1" s="1"/>
  <c r="E5" i="1"/>
  <c r="F5" i="1" s="1"/>
  <c r="E6" i="1"/>
  <c r="F6" i="1" s="1"/>
  <c r="E8" i="1"/>
  <c r="F8" i="1" s="1"/>
  <c r="E9" i="1"/>
  <c r="F9" i="1" s="1"/>
  <c r="E10" i="1"/>
  <c r="F10" i="1" s="1"/>
  <c r="F2" i="1"/>
</calcChain>
</file>

<file path=xl/sharedStrings.xml><?xml version="1.0" encoding="utf-8"?>
<sst xmlns="http://schemas.openxmlformats.org/spreadsheetml/2006/main" count="15" uniqueCount="14">
  <si>
    <t>project beginning time</t>
    <phoneticPr fontId="1" type="noConversion"/>
  </si>
  <si>
    <t>days</t>
    <phoneticPr fontId="1" type="noConversion"/>
  </si>
  <si>
    <t>project 1</t>
    <phoneticPr fontId="1" type="noConversion"/>
  </si>
  <si>
    <t>project 2</t>
    <phoneticPr fontId="1" type="noConversion"/>
  </si>
  <si>
    <t>project 3</t>
  </si>
  <si>
    <t>project 4</t>
  </si>
  <si>
    <t>project 5</t>
  </si>
  <si>
    <t>project 6</t>
  </si>
  <si>
    <t>project 7</t>
  </si>
  <si>
    <t>project 8</t>
  </si>
  <si>
    <t>project 9</t>
  </si>
  <si>
    <t>finished</t>
    <phoneticPr fontId="1" type="noConversion"/>
  </si>
  <si>
    <t>unfinished</t>
    <phoneticPr fontId="1" type="noConversion"/>
  </si>
  <si>
    <t>current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</si>
</sst>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项目执行情况甘特图</a:t>
            </a:r>
          </a:p>
        </c:rich>
      </c:tx>
      <c:overlay val="0"/>
      <c:spPr>
        <a:noFill/>
        <a:ln>
          <a:solidFill>
            <a:srgbClr val="70AD47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project beginning time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Sheet1!$A$2:$A$12</c:f>
              <c:strCache>
                <c:ptCount val="9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  <c:pt idx="6">
                  <c:v>project 7</c:v>
                </c:pt>
                <c:pt idx="7">
                  <c:v>project 8</c:v>
                </c:pt>
                <c:pt idx="8">
                  <c:v>project 9</c:v>
                </c:pt>
              </c:strCache>
            </c:strRef>
          </c:cat>
          <c:val>
            <c:numRef>
              <c:f>Sheet1!$B$2:$B$12</c:f>
              <c:numCache>
                <c:formatCode>m/d/yyyy</c:formatCode>
                <c:ptCount val="11"/>
                <c:pt idx="0">
                  <c:v>45474</c:v>
                </c:pt>
                <c:pt idx="1">
                  <c:v>45475</c:v>
                </c:pt>
                <c:pt idx="2">
                  <c:v>45475</c:v>
                </c:pt>
                <c:pt idx="3">
                  <c:v>45476</c:v>
                </c:pt>
                <c:pt idx="4">
                  <c:v>45477</c:v>
                </c:pt>
                <c:pt idx="5">
                  <c:v>45485</c:v>
                </c:pt>
                <c:pt idx="6">
                  <c:v>45486</c:v>
                </c:pt>
                <c:pt idx="7">
                  <c:v>45495</c:v>
                </c:pt>
                <c:pt idx="8">
                  <c:v>45495</c:v>
                </c:pt>
                <c:pt idx="9" formatCode="General">
                  <c:v>0</c:v>
                </c:pt>
                <c:pt idx="10">
                  <c:v>45488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6-4E5F-B9EA-BC527D0B9ED1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finished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Sheet1!$A$2:$A$12</c:f>
              <c:strCache>
                <c:ptCount val="9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  <c:pt idx="6">
                  <c:v>project 7</c:v>
                </c:pt>
                <c:pt idx="7">
                  <c:v>project 8</c:v>
                </c:pt>
                <c:pt idx="8">
                  <c:v>project 9</c:v>
                </c:pt>
              </c:strCache>
            </c:strRef>
          </c:cat>
          <c:val>
            <c:numRef>
              <c:f>Sheet1!$E$2:$E$12</c:f>
              <c:numCache>
                <c:formatCode>General</c:formatCode>
                <c:ptCount val="11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8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C6-4E5F-B9EA-BC527D0B9ED1}"/>
            </c:ext>
          </c:extLst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unfinished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Sheet1!$A$2:$A$12</c:f>
              <c:strCache>
                <c:ptCount val="9"/>
                <c:pt idx="0">
                  <c:v>project 1</c:v>
                </c:pt>
                <c:pt idx="1">
                  <c:v>project 2</c:v>
                </c:pt>
                <c:pt idx="2">
                  <c:v>project 3</c:v>
                </c:pt>
                <c:pt idx="3">
                  <c:v>project 4</c:v>
                </c:pt>
                <c:pt idx="4">
                  <c:v>project 5</c:v>
                </c:pt>
                <c:pt idx="5">
                  <c:v>project 6</c:v>
                </c:pt>
                <c:pt idx="6">
                  <c:v>project 7</c:v>
                </c:pt>
                <c:pt idx="7">
                  <c:v>project 8</c:v>
                </c:pt>
                <c:pt idx="8">
                  <c:v>project 9</c:v>
                </c:pt>
              </c:strCache>
            </c:strRef>
          </c:cat>
          <c:val>
            <c:numRef>
              <c:f>Sheet1!$F$2:$F$12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3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C6-4E5F-B9EA-BC527D0B9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305849680"/>
        <c:axId val="1305844400"/>
      </c:barChart>
      <c:catAx>
        <c:axId val="13058496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rgbClr val="70AD47">
                  <a:alpha val="50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844400"/>
        <c:crosses val="autoZero"/>
        <c:auto val="1"/>
        <c:lblAlgn val="ctr"/>
        <c:lblOffset val="100"/>
        <c:noMultiLvlLbl val="0"/>
      </c:catAx>
      <c:valAx>
        <c:axId val="1305844400"/>
        <c:scaling>
          <c:orientation val="minMax"/>
          <c:max val="45499"/>
          <c:min val="45474"/>
        </c:scaling>
        <c:delete val="0"/>
        <c:axPos val="t"/>
        <c:majorGridlines>
          <c:spPr>
            <a:ln w="9525" cap="flat" cmpd="sng" algn="ctr">
              <a:solidFill>
                <a:srgbClr val="70AD47">
                  <a:alpha val="50000"/>
                </a:srgb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84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rgbClr val="70AD47">
        <a:lumMod val="20000"/>
        <a:lumOff val="8000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$C$12" horiz="1" max="30" page="10" val="1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13</xdr:row>
      <xdr:rowOff>174625</xdr:rowOff>
    </xdr:from>
    <xdr:to>
      <xdr:col>6</xdr:col>
      <xdr:colOff>387350</xdr:colOff>
      <xdr:row>29</xdr:row>
      <xdr:rowOff>73025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654050</xdr:colOff>
          <xdr:row>14</xdr:row>
          <xdr:rowOff>139700</xdr:rowOff>
        </xdr:from>
        <xdr:to>
          <xdr:col>1</xdr:col>
          <xdr:colOff>577850</xdr:colOff>
          <xdr:row>15</xdr:row>
          <xdr:rowOff>127000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4BD8B-ABA7-4EF1-8196-281F014C41AD}">
  <sheetPr codeName="Sheet1"/>
  <dimension ref="A1:F12"/>
  <sheetViews>
    <sheetView tabSelected="1" topLeftCell="A16" workbookViewId="0">
      <selection activeCell="L15" sqref="L15"/>
    </sheetView>
  </sheetViews>
  <sheetFormatPr defaultRowHeight="14" x14ac:dyDescent="0.3"/>
  <cols>
    <col min="1" max="1" width="10.58203125" customWidth="1"/>
    <col min="2" max="2" width="20.25" customWidth="1"/>
    <col min="5" max="5" width="10" customWidth="1"/>
    <col min="6" max="6" width="10.5" customWidth="1"/>
  </cols>
  <sheetData>
    <row r="1" spans="1:6" x14ac:dyDescent="0.3">
      <c r="A1" s="1"/>
      <c r="B1" s="1" t="s">
        <v>0</v>
      </c>
      <c r="C1" s="1" t="s">
        <v>1</v>
      </c>
      <c r="E1" s="1" t="s">
        <v>11</v>
      </c>
      <c r="F1" s="1" t="s">
        <v>12</v>
      </c>
    </row>
    <row r="2" spans="1:6" x14ac:dyDescent="0.3">
      <c r="A2" s="1" t="s">
        <v>2</v>
      </c>
      <c r="B2" s="7">
        <f>DATE(2024,7,1)</f>
        <v>45474</v>
      </c>
      <c r="C2" s="8">
        <v>4</v>
      </c>
      <c r="E2" s="8">
        <f>IF(B2&gt;=$B$12,0,IF(B2+C2&gt;=$B$12,$B$12-B2,C2))</f>
        <v>4</v>
      </c>
      <c r="F2" s="8">
        <f>C2-E2</f>
        <v>0</v>
      </c>
    </row>
    <row r="3" spans="1:6" x14ac:dyDescent="0.3">
      <c r="A3" s="1" t="s">
        <v>3</v>
      </c>
      <c r="B3" s="7">
        <f>DATE(2024,7,2)</f>
        <v>45475</v>
      </c>
      <c r="C3" s="8">
        <v>3</v>
      </c>
      <c r="E3" s="8">
        <f t="shared" ref="E3:E10" si="0">IF(B3&gt;=$B$12,0,IF(B3+C3&gt;=$B$12,$B$12-B3,C3))</f>
        <v>3</v>
      </c>
      <c r="F3" s="8">
        <f t="shared" ref="F3:F10" si="1">C3-E3</f>
        <v>0</v>
      </c>
    </row>
    <row r="4" spans="1:6" x14ac:dyDescent="0.3">
      <c r="A4" s="1" t="s">
        <v>4</v>
      </c>
      <c r="B4" s="7">
        <f t="shared" ref="B4" si="2">DATE(2024,7,2)</f>
        <v>45475</v>
      </c>
      <c r="C4" s="8">
        <v>4</v>
      </c>
      <c r="E4" s="8">
        <f t="shared" si="0"/>
        <v>4</v>
      </c>
      <c r="F4" s="8">
        <f t="shared" si="1"/>
        <v>0</v>
      </c>
    </row>
    <row r="5" spans="1:6" x14ac:dyDescent="0.3">
      <c r="A5" s="1" t="s">
        <v>5</v>
      </c>
      <c r="B5" s="7">
        <f>DATE(2024,7,3)</f>
        <v>45476</v>
      </c>
      <c r="C5" s="8">
        <v>3</v>
      </c>
      <c r="E5" s="8">
        <f t="shared" si="0"/>
        <v>3</v>
      </c>
      <c r="F5" s="8">
        <f t="shared" si="1"/>
        <v>0</v>
      </c>
    </row>
    <row r="6" spans="1:6" x14ac:dyDescent="0.3">
      <c r="A6" s="1" t="s">
        <v>6</v>
      </c>
      <c r="B6" s="7">
        <f>DATE(2024,7,4)</f>
        <v>45477</v>
      </c>
      <c r="C6" s="8">
        <v>8</v>
      </c>
      <c r="E6" s="8">
        <f t="shared" si="0"/>
        <v>8</v>
      </c>
      <c r="F6" s="8">
        <f t="shared" si="1"/>
        <v>0</v>
      </c>
    </row>
    <row r="7" spans="1:6" x14ac:dyDescent="0.3">
      <c r="A7" s="1" t="s">
        <v>7</v>
      </c>
      <c r="B7" s="7">
        <f>DATE(2024,7,12)</f>
        <v>45485</v>
      </c>
      <c r="C7" s="8">
        <v>5</v>
      </c>
      <c r="E7" s="8">
        <f t="shared" si="0"/>
        <v>3</v>
      </c>
      <c r="F7" s="8">
        <f t="shared" si="1"/>
        <v>2</v>
      </c>
    </row>
    <row r="8" spans="1:6" x14ac:dyDescent="0.3">
      <c r="A8" s="1" t="s">
        <v>8</v>
      </c>
      <c r="B8" s="7">
        <f>DATE(2024,7,13)</f>
        <v>45486</v>
      </c>
      <c r="C8" s="8">
        <v>10</v>
      </c>
      <c r="E8" s="8">
        <f t="shared" si="0"/>
        <v>2</v>
      </c>
      <c r="F8" s="8">
        <f t="shared" si="1"/>
        <v>8</v>
      </c>
    </row>
    <row r="9" spans="1:6" x14ac:dyDescent="0.3">
      <c r="A9" s="1" t="s">
        <v>9</v>
      </c>
      <c r="B9" s="7">
        <f>DATE(2024,7,22)</f>
        <v>45495</v>
      </c>
      <c r="C9" s="8">
        <v>3</v>
      </c>
      <c r="E9" s="8">
        <f t="shared" si="0"/>
        <v>0</v>
      </c>
      <c r="F9" s="8">
        <f t="shared" si="1"/>
        <v>3</v>
      </c>
    </row>
    <row r="10" spans="1:6" x14ac:dyDescent="0.3">
      <c r="A10" s="1" t="s">
        <v>10</v>
      </c>
      <c r="B10" s="7">
        <f>DATE(2024,7,22)</f>
        <v>45495</v>
      </c>
      <c r="C10" s="8">
        <v>4</v>
      </c>
      <c r="E10" s="8">
        <f t="shared" si="0"/>
        <v>0</v>
      </c>
      <c r="F10" s="8">
        <f t="shared" si="1"/>
        <v>4</v>
      </c>
    </row>
    <row r="11" spans="1:6" x14ac:dyDescent="0.3">
      <c r="A11" s="5"/>
      <c r="B11" s="6" t="s">
        <v>13</v>
      </c>
      <c r="C11" s="1" t="s">
        <v>1</v>
      </c>
    </row>
    <row r="12" spans="1:6" x14ac:dyDescent="0.3">
      <c r="A12" s="5"/>
      <c r="B12" s="4">
        <f>DATE(2024,7,1)+C12</f>
        <v>45488</v>
      </c>
      <c r="C12" s="2">
        <v>14</v>
      </c>
      <c r="D12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0</xdr:col>
                    <xdr:colOff>654050</xdr:colOff>
                    <xdr:row>14</xdr:row>
                    <xdr:rowOff>139700</xdr:rowOff>
                  </from>
                  <to>
                    <xdr:col>1</xdr:col>
                    <xdr:colOff>577850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厚冰 张</dc:creator>
  <cp:lastModifiedBy>厚冰 张</cp:lastModifiedBy>
  <dcterms:created xsi:type="dcterms:W3CDTF">2024-07-23T04:53:59Z</dcterms:created>
  <dcterms:modified xsi:type="dcterms:W3CDTF">2024-07-24T10:13:23Z</dcterms:modified>
</cp:coreProperties>
</file>