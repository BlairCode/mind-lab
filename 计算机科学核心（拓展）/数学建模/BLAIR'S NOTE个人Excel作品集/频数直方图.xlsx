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esktop\Excel作品集\"/>
    </mc:Choice>
  </mc:AlternateContent>
  <xr:revisionPtr revIDLastSave="0" documentId="13_ncr:1_{AF9F4C9C-4A27-4200-A7F8-5370917B588B}" xr6:coauthVersionLast="47" xr6:coauthVersionMax="47" xr10:uidLastSave="{00000000-0000-0000-0000-000000000000}"/>
  <bookViews>
    <workbookView xWindow="-110" yWindow="-110" windowWidth="21820" windowHeight="13900" xr2:uid="{10241458-F134-43F6-A613-2150C11A971E}"/>
  </bookViews>
  <sheets>
    <sheet name="Sheet1" sheetId="1" r:id="rId1"/>
  </sheets>
  <definedNames>
    <definedName name="_xlchart.v1.0" hidden="1">Sheet1!$D$1:$D$18</definedName>
    <definedName name="_xlchart.v1.1" hidden="1">Sheet1!$D$2:$D$45</definedName>
    <definedName name="_xlchart.v1.2" hidden="1">Sheet1!$D$1:$D$18</definedName>
    <definedName name="_xlchart.v1.3" hidden="1">Sheet1!$D$2:$D$45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G12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36" i="1"/>
  <c r="D36" i="1"/>
  <c r="C37" i="1"/>
  <c r="D37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1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4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19" i="1"/>
  <c r="C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H12" i="1" l="1"/>
  <c r="H3" i="1"/>
  <c r="H8" i="1"/>
  <c r="H7" i="1"/>
  <c r="H10" i="1"/>
  <c r="H6" i="1"/>
  <c r="H11" i="1"/>
  <c r="H5" i="1"/>
  <c r="H2" i="1"/>
  <c r="H9" i="1"/>
  <c r="H4" i="1"/>
</calcChain>
</file>

<file path=xl/sharedStrings.xml><?xml version="1.0" encoding="utf-8"?>
<sst xmlns="http://schemas.openxmlformats.org/spreadsheetml/2006/main" count="11" uniqueCount="10">
  <si>
    <t>姓</t>
    <phoneticPr fontId="1" type="noConversion"/>
  </si>
  <si>
    <t>男名</t>
    <phoneticPr fontId="1" type="noConversion"/>
  </si>
  <si>
    <t>女名</t>
    <phoneticPr fontId="1" type="noConversion"/>
  </si>
  <si>
    <t>赵钱孙李周吴郑王冯陈褚卫孔曹严华</t>
    <phoneticPr fontId="1" type="noConversion"/>
  </si>
  <si>
    <t>强刚发军任望旺福毅奕顺兴亮达能峰</t>
    <phoneticPr fontId="1" type="noConversion"/>
  </si>
  <si>
    <t>花玉雨羽暖虹艺芳娟爽双宁秒云叶茜</t>
  </si>
  <si>
    <t xml:space="preserve">  </t>
    <phoneticPr fontId="1" type="noConversion"/>
  </si>
  <si>
    <t>WEIGHT</t>
    <phoneticPr fontId="1" type="noConversion"/>
  </si>
  <si>
    <t>区间</t>
    <phoneticPr fontId="1" type="noConversion"/>
  </si>
  <si>
    <t>频数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</si>
</sst>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5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根据区间频数数据制作条形图改为直方图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Sheet1!$G$2:$G$12</c:f>
              <c:strCache>
                <c:ptCount val="11"/>
                <c:pt idx="0">
                  <c:v>[40,50)</c:v>
                </c:pt>
                <c:pt idx="1">
                  <c:v>[50,60)</c:v>
                </c:pt>
                <c:pt idx="2">
                  <c:v>[60,70)</c:v>
                </c:pt>
                <c:pt idx="3">
                  <c:v>[70,80)</c:v>
                </c:pt>
                <c:pt idx="4">
                  <c:v>[80,90)</c:v>
                </c:pt>
                <c:pt idx="5">
                  <c:v>[90,100)</c:v>
                </c:pt>
                <c:pt idx="6">
                  <c:v>[100,110)</c:v>
                </c:pt>
                <c:pt idx="7">
                  <c:v>[110,120)</c:v>
                </c:pt>
                <c:pt idx="8">
                  <c:v>[120,130)</c:v>
                </c:pt>
                <c:pt idx="9">
                  <c:v>[130,140)</c:v>
                </c:pt>
                <c:pt idx="10">
                  <c:v>[140,150]</c:v>
                </c:pt>
              </c:strCache>
            </c:strRef>
          </c:cat>
          <c:val>
            <c:numRef>
              <c:f>Sheet1!$H$2:$H$12</c:f>
              <c:numCache>
                <c:formatCode>General</c:formatCode>
                <c:ptCount val="11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7A-4167-B396-7055D1C6B8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11"/>
        <c:axId val="1853064592"/>
        <c:axId val="1853054512"/>
      </c:barChart>
      <c:catAx>
        <c:axId val="185306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3054512"/>
        <c:crosses val="autoZero"/>
        <c:auto val="1"/>
        <c:lblAlgn val="ctr"/>
        <c:lblOffset val="100"/>
        <c:noMultiLvlLbl val="0"/>
      </c:catAx>
      <c:valAx>
        <c:axId val="18530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306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根据</a:t>
            </a: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weight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等线" panose="02010600030101010101" pitchFamily="2" charset="-122"/>
              </a:rPr>
              <a:t>数据自生成直方图</a:t>
            </a:r>
          </a:p>
        </cx:rich>
      </cx:tx>
    </cx:title>
    <cx:plotArea>
      <cx:plotAreaRegion>
        <cx:series layoutId="clusteredColumn" uniqueId="{4D2989DE-685E-4D18-A15A-A3D9E802F689}">
          <cx:tx>
            <cx:txData>
              <cx:f>_xlchart.v1.0</cx:f>
              <cx:v>WEIGHT 75 77 102 60 133 143 88 143 96 135 68 65 95 65 61 101 134</cx:v>
            </cx:txData>
          </cx:tx>
          <cx:spPr>
            <a:solidFill>
              <a:srgbClr val="00B0F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noFill/>
                    </a:ln>
                    <a:solidFill>
                      <a:schemeClr val="accent5">
                        <a:lumMod val="50000"/>
                      </a:schemeClr>
                    </a:solidFill>
                  </a:defRPr>
                </a:pPr>
                <a:endParaRPr lang="zh-CN" altLang="en-US" sz="900" b="0" i="0" u="none" strike="noStrike" baseline="0">
                  <a:ln>
                    <a:noFill/>
                  </a:ln>
                  <a:solidFill>
                    <a:schemeClr val="accent5">
                      <a:lumMod val="50000"/>
                    </a:scheme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等线" panose="02010600030101010101" pitchFamily="2" charset="-122"/>
                  </a:rPr>
                  <a:t>Weight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频数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rPr>
                <a:t>频数</a:t>
              </a:r>
            </a:p>
          </cx:txPr>
        </cx:title>
        <cx:majorGridlines/>
        <cx:tickLabels/>
      </cx:axis>
    </cx:plotArea>
  </cx:chart>
  <cx:spPr>
    <a:solidFill>
      <a:srgbClr val="C5F0FF"/>
    </a:solidFill>
    <a:ln>
      <a:solidFill>
        <a:schemeClr val="bg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444500</xdr:colOff>
      <xdr:row>0</xdr:row>
      <xdr:rowOff>82550</xdr:rowOff>
    </xdr:from>
    <xdr:to>
      <xdr:col>15</xdr:col>
      <xdr:colOff>393700</xdr:colOff>
      <xdr:row>16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0803316C-2C36-6E8C-4498-B9F3BBDB64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42200" y="82550"/>
              <a:ext cx="4572000" cy="2851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</xdr:colOff>
      <xdr:row>9</xdr:row>
      <xdr:rowOff>171449</xdr:rowOff>
    </xdr:from>
    <xdr:to>
      <xdr:col>5</xdr:col>
      <xdr:colOff>241299</xdr:colOff>
      <xdr:row>29</xdr:row>
      <xdr:rowOff>150570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302FD63-C0FD-2096-B1D4-23F5F4CC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" y="1771649"/>
          <a:ext cx="5251449" cy="3535121"/>
        </a:xfrm>
        <a:prstGeom prst="rect">
          <a:avLst/>
        </a:prstGeom>
        <a:ln>
          <a:solidFill>
            <a:srgbClr val="00B0F0"/>
          </a:solidFill>
        </a:ln>
      </xdr:spPr>
    </xdr:pic>
    <xdr:clientData/>
  </xdr:twoCellAnchor>
  <xdr:twoCellAnchor>
    <xdr:from>
      <xdr:col>5</xdr:col>
      <xdr:colOff>539750</xdr:colOff>
      <xdr:row>19</xdr:row>
      <xdr:rowOff>120650</xdr:rowOff>
    </xdr:from>
    <xdr:to>
      <xdr:col>12</xdr:col>
      <xdr:colOff>488950</xdr:colOff>
      <xdr:row>35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F3C3529-0E3F-CA5C-6FEE-8A3448AEAB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B80B-B5BD-4413-AE60-B213397D0200}">
  <sheetPr codeName="Sheet1"/>
  <dimension ref="A1:H45"/>
  <sheetViews>
    <sheetView tabSelected="1" workbookViewId="0">
      <selection activeCell="O21" sqref="O21"/>
    </sheetView>
  </sheetViews>
  <sheetFormatPr defaultRowHeight="14" x14ac:dyDescent="0.3"/>
  <cols>
    <col min="2" max="2" width="31.1640625" customWidth="1"/>
  </cols>
  <sheetData>
    <row r="1" spans="1:8" x14ac:dyDescent="0.3">
      <c r="A1" t="s">
        <v>0</v>
      </c>
      <c r="B1" t="s">
        <v>3</v>
      </c>
      <c r="C1" s="1" t="s">
        <v>1</v>
      </c>
      <c r="D1" s="1" t="s">
        <v>7</v>
      </c>
      <c r="G1" t="s">
        <v>8</v>
      </c>
      <c r="H1" t="s">
        <v>9</v>
      </c>
    </row>
    <row r="2" spans="1:8" x14ac:dyDescent="0.3">
      <c r="A2" t="s">
        <v>1</v>
      </c>
      <c r="B2" t="s">
        <v>4</v>
      </c>
      <c r="C2" s="2" t="str">
        <f ca="1">MID($B$1,RAND()*LEN($B$1)+1,1)&amp;MID($B$2,RAND()*LEN($B$2)+1,1)&amp;IF(RAND()&gt;0.3,MID($B$2,RAND()*LEN($B$2)+1,1),)</f>
        <v>严刚军</v>
      </c>
      <c r="D2" s="2">
        <f ca="1">RANDBETWEEN(60,150)</f>
        <v>75</v>
      </c>
      <c r="F2">
        <v>40</v>
      </c>
      <c r="G2" t="str">
        <f>"["&amp;F2&amp;","&amp;F3&amp;")"</f>
        <v>[40,50)</v>
      </c>
      <c r="H2">
        <f ca="1">COUNTIFS(D:D,"&gt;="&amp;F2,D:D,"&lt;"&amp;F3)</f>
        <v>3</v>
      </c>
    </row>
    <row r="3" spans="1:8" x14ac:dyDescent="0.3">
      <c r="A3" t="s">
        <v>2</v>
      </c>
      <c r="B3" t="s">
        <v>5</v>
      </c>
      <c r="C3" s="2" t="str">
        <f t="shared" ref="C3:C18" ca="1" si="0">MID($B$1,RAND()*LEN($B$1)+1,1)&amp;MID($B$2,RAND()*LEN($B$2)+1,1)&amp;IF(RAND()&gt;0.3,MID($B$2,RAND()*LEN($B$2)+1,1),)</f>
        <v>钱毅福</v>
      </c>
      <c r="D3" s="2">
        <f t="shared" ref="D3:D18" ca="1" si="1">RANDBETWEEN(60,150)</f>
        <v>77</v>
      </c>
      <c r="F3">
        <v>50</v>
      </c>
      <c r="G3" t="str">
        <f t="shared" ref="G3:G11" si="2">"["&amp;F3&amp;","&amp;F4&amp;")"</f>
        <v>[50,60)</v>
      </c>
      <c r="H3">
        <f t="shared" ref="H3:H12" ca="1" si="3">COUNTIFS(D:D,"&gt;="&amp;F3,D:D,"&lt;"&amp;F4)</f>
        <v>4</v>
      </c>
    </row>
    <row r="4" spans="1:8" x14ac:dyDescent="0.3">
      <c r="C4" s="2" t="str">
        <f ca="1">MID($B$1,RAND()*LEN($B$1)+1,1)&amp;MID($B$2,RAND()*LEN($B$2)+1,1)&amp;IF(RAND()&gt;0.3,MID($B$2,RAND()*LEN($B$2)+1,1),)</f>
        <v>赵发任</v>
      </c>
      <c r="D4" s="2">
        <f t="shared" ca="1" si="1"/>
        <v>102</v>
      </c>
      <c r="F4">
        <v>60</v>
      </c>
      <c r="G4" t="str">
        <f t="shared" si="2"/>
        <v>[60,70)</v>
      </c>
      <c r="H4">
        <f t="shared" ca="1" si="3"/>
        <v>9</v>
      </c>
    </row>
    <row r="5" spans="1:8" x14ac:dyDescent="0.3">
      <c r="C5" s="2" t="str">
        <f t="shared" ca="1" si="0"/>
        <v>周福旺</v>
      </c>
      <c r="D5" s="2">
        <f t="shared" ca="1" si="1"/>
        <v>60</v>
      </c>
      <c r="F5">
        <v>70</v>
      </c>
      <c r="G5" t="str">
        <f t="shared" si="2"/>
        <v>[70,80)</v>
      </c>
      <c r="H5">
        <f t="shared" ca="1" si="3"/>
        <v>7</v>
      </c>
    </row>
    <row r="6" spans="1:8" x14ac:dyDescent="0.3">
      <c r="C6" s="2" t="str">
        <f t="shared" ca="1" si="0"/>
        <v>郑亮</v>
      </c>
      <c r="D6" s="2">
        <f t="shared" ca="1" si="1"/>
        <v>133</v>
      </c>
      <c r="F6">
        <v>80</v>
      </c>
      <c r="G6" t="str">
        <f t="shared" si="2"/>
        <v>[80,90)</v>
      </c>
      <c r="H6">
        <f t="shared" ca="1" si="3"/>
        <v>5</v>
      </c>
    </row>
    <row r="7" spans="1:8" x14ac:dyDescent="0.3">
      <c r="C7" s="2" t="str">
        <f t="shared" ca="1" si="0"/>
        <v>华峰兴</v>
      </c>
      <c r="D7" s="2">
        <f t="shared" ca="1" si="1"/>
        <v>143</v>
      </c>
      <c r="F7">
        <v>90</v>
      </c>
      <c r="G7" t="str">
        <f t="shared" si="2"/>
        <v>[90,100)</v>
      </c>
      <c r="H7">
        <f t="shared" ca="1" si="3"/>
        <v>7</v>
      </c>
    </row>
    <row r="8" spans="1:8" x14ac:dyDescent="0.3">
      <c r="A8" t="s">
        <v>6</v>
      </c>
      <c r="C8" s="2" t="str">
        <f t="shared" ca="1" si="0"/>
        <v>郑任</v>
      </c>
      <c r="D8" s="2">
        <f t="shared" ca="1" si="1"/>
        <v>88</v>
      </c>
      <c r="F8">
        <v>100</v>
      </c>
      <c r="G8" t="str">
        <f t="shared" si="2"/>
        <v>[100,110)</v>
      </c>
      <c r="H8">
        <f t="shared" ca="1" si="3"/>
        <v>4</v>
      </c>
    </row>
    <row r="9" spans="1:8" x14ac:dyDescent="0.3">
      <c r="C9" s="2" t="str">
        <f t="shared" ca="1" si="0"/>
        <v>钱兴</v>
      </c>
      <c r="D9" s="2">
        <f t="shared" ca="1" si="1"/>
        <v>143</v>
      </c>
      <c r="F9">
        <v>110</v>
      </c>
      <c r="G9" t="str">
        <f t="shared" si="2"/>
        <v>[110,120)</v>
      </c>
      <c r="H9">
        <f t="shared" ca="1" si="3"/>
        <v>0</v>
      </c>
    </row>
    <row r="10" spans="1:8" x14ac:dyDescent="0.3">
      <c r="C10" s="2" t="str">
        <f t="shared" ca="1" si="0"/>
        <v>郑奕奕</v>
      </c>
      <c r="D10" s="2">
        <f t="shared" ca="1" si="1"/>
        <v>96</v>
      </c>
      <c r="F10">
        <v>120</v>
      </c>
      <c r="G10" t="str">
        <f t="shared" si="2"/>
        <v>[120,130)</v>
      </c>
      <c r="H10">
        <f t="shared" ca="1" si="3"/>
        <v>0</v>
      </c>
    </row>
    <row r="11" spans="1:8" x14ac:dyDescent="0.3">
      <c r="C11" s="2" t="str">
        <f t="shared" ca="1" si="0"/>
        <v>陈强</v>
      </c>
      <c r="D11" s="2">
        <f t="shared" ca="1" si="1"/>
        <v>135</v>
      </c>
      <c r="F11">
        <v>130</v>
      </c>
      <c r="G11" t="str">
        <f t="shared" si="2"/>
        <v>[130,140)</v>
      </c>
      <c r="H11">
        <f t="shared" ca="1" si="3"/>
        <v>3</v>
      </c>
    </row>
    <row r="12" spans="1:8" x14ac:dyDescent="0.3">
      <c r="C12" s="2" t="str">
        <f t="shared" ca="1" si="0"/>
        <v>褚峰毅</v>
      </c>
      <c r="D12" s="2">
        <f t="shared" ca="1" si="1"/>
        <v>68</v>
      </c>
      <c r="F12">
        <v>140</v>
      </c>
      <c r="G12" t="str">
        <f t="shared" ref="G3:G12" si="4">"["&amp;F12&amp;","&amp;F13&amp;"]"</f>
        <v>[140,150]</v>
      </c>
      <c r="H12">
        <f ca="1">COUNTIFS(D:D,"&gt;="&amp;F12,D:D,"&lt;="&amp;F13)</f>
        <v>2</v>
      </c>
    </row>
    <row r="13" spans="1:8" x14ac:dyDescent="0.3">
      <c r="C13" s="2" t="str">
        <f t="shared" ca="1" si="0"/>
        <v>陈旺毅</v>
      </c>
      <c r="D13" s="2">
        <f t="shared" ca="1" si="1"/>
        <v>65</v>
      </c>
      <c r="F13">
        <v>150</v>
      </c>
    </row>
    <row r="14" spans="1:8" x14ac:dyDescent="0.3">
      <c r="C14" s="2" t="str">
        <f t="shared" ca="1" si="0"/>
        <v>曹福强</v>
      </c>
      <c r="D14" s="2">
        <f t="shared" ca="1" si="1"/>
        <v>95</v>
      </c>
    </row>
    <row r="15" spans="1:8" x14ac:dyDescent="0.3">
      <c r="C15" s="2" t="str">
        <f t="shared" ca="1" si="0"/>
        <v>王福望</v>
      </c>
      <c r="D15" s="2">
        <f t="shared" ca="1" si="1"/>
        <v>65</v>
      </c>
    </row>
    <row r="16" spans="1:8" x14ac:dyDescent="0.3">
      <c r="C16" s="2" t="str">
        <f t="shared" ca="1" si="0"/>
        <v>冯旺亮</v>
      </c>
      <c r="D16" s="2">
        <f t="shared" ca="1" si="1"/>
        <v>61</v>
      </c>
    </row>
    <row r="17" spans="3:4" x14ac:dyDescent="0.3">
      <c r="C17" s="2" t="str">
        <f t="shared" ca="1" si="0"/>
        <v>孙旺</v>
      </c>
      <c r="D17" s="2">
        <f t="shared" ca="1" si="1"/>
        <v>101</v>
      </c>
    </row>
    <row r="18" spans="3:4" x14ac:dyDescent="0.3">
      <c r="C18" s="2" t="str">
        <f t="shared" ca="1" si="0"/>
        <v>周能福</v>
      </c>
      <c r="D18" s="2">
        <f t="shared" ca="1" si="1"/>
        <v>134</v>
      </c>
    </row>
    <row r="19" spans="3:4" x14ac:dyDescent="0.3">
      <c r="C19" s="2" t="str">
        <f ca="1">MID($B$1,RAND()*LEN($B$1)+1,1)&amp;MID($B$3,RAND()*LEN($B$3)+1,1)&amp;IF(RAND()&gt;0.3,MID($B$3,RAND()*LEN($B$3)+1,1),)</f>
        <v>钱暖玉</v>
      </c>
      <c r="D19" s="2">
        <f ca="1">RANDBETWEEN(40,110)</f>
        <v>65</v>
      </c>
    </row>
    <row r="20" spans="3:4" x14ac:dyDescent="0.3">
      <c r="C20" s="2" t="str">
        <f t="shared" ref="C20:C45" ca="1" si="5">MID($B$1,RAND()*LEN($B$1)+1,1)&amp;MID($B$3,RAND()*LEN($B$3)+1,1)&amp;IF(RAND()&gt;0.3,MID($B$3,RAND()*LEN($B$3)+1,1),)</f>
        <v>严娟</v>
      </c>
      <c r="D20" s="2">
        <f t="shared" ref="D20:D45" ca="1" si="6">RANDBETWEEN(40,110)</f>
        <v>84</v>
      </c>
    </row>
    <row r="21" spans="3:4" x14ac:dyDescent="0.3">
      <c r="C21" s="2" t="str">
        <f t="shared" ca="1" si="5"/>
        <v>褚娟叶</v>
      </c>
      <c r="D21" s="2">
        <f t="shared" ca="1" si="6"/>
        <v>50</v>
      </c>
    </row>
    <row r="22" spans="3:4" x14ac:dyDescent="0.3">
      <c r="C22" s="2" t="str">
        <f t="shared" ca="1" si="5"/>
        <v>孙虹</v>
      </c>
      <c r="D22" s="2">
        <f t="shared" ca="1" si="6"/>
        <v>51</v>
      </c>
    </row>
    <row r="23" spans="3:4" x14ac:dyDescent="0.3">
      <c r="C23" s="2" t="str">
        <f t="shared" ca="1" si="5"/>
        <v>钱双娟</v>
      </c>
      <c r="D23" s="2">
        <f t="shared" ca="1" si="6"/>
        <v>93</v>
      </c>
    </row>
    <row r="24" spans="3:4" x14ac:dyDescent="0.3">
      <c r="C24" s="2" t="str">
        <f t="shared" ca="1" si="5"/>
        <v>褚羽双</v>
      </c>
      <c r="D24" s="2">
        <f t="shared" ca="1" si="6"/>
        <v>89</v>
      </c>
    </row>
    <row r="25" spans="3:4" x14ac:dyDescent="0.3">
      <c r="C25" s="2" t="str">
        <f t="shared" ca="1" si="5"/>
        <v>曹雨</v>
      </c>
      <c r="D25" s="2">
        <f t="shared" ca="1" si="6"/>
        <v>61</v>
      </c>
    </row>
    <row r="26" spans="3:4" x14ac:dyDescent="0.3">
      <c r="C26" s="2" t="str">
        <f t="shared" ca="1" si="5"/>
        <v>郑双玉</v>
      </c>
      <c r="D26" s="2">
        <f t="shared" ca="1" si="6"/>
        <v>98</v>
      </c>
    </row>
    <row r="27" spans="3:4" x14ac:dyDescent="0.3">
      <c r="C27" s="2" t="str">
        <f t="shared" ca="1" si="5"/>
        <v>陈芳雨</v>
      </c>
      <c r="D27" s="2">
        <f t="shared" ca="1" si="6"/>
        <v>73</v>
      </c>
    </row>
    <row r="28" spans="3:4" x14ac:dyDescent="0.3">
      <c r="C28" s="2" t="str">
        <f t="shared" ca="1" si="5"/>
        <v>曹艺暖</v>
      </c>
      <c r="D28" s="2">
        <f t="shared" ca="1" si="6"/>
        <v>43</v>
      </c>
    </row>
    <row r="29" spans="3:4" x14ac:dyDescent="0.3">
      <c r="C29" s="2" t="str">
        <f t="shared" ca="1" si="5"/>
        <v>严雨</v>
      </c>
      <c r="D29" s="2">
        <f t="shared" ca="1" si="6"/>
        <v>84</v>
      </c>
    </row>
    <row r="30" spans="3:4" x14ac:dyDescent="0.3">
      <c r="C30" s="2" t="str">
        <f t="shared" ca="1" si="5"/>
        <v>孔玉艺</v>
      </c>
      <c r="D30" s="2">
        <f t="shared" ca="1" si="6"/>
        <v>55</v>
      </c>
    </row>
    <row r="31" spans="3:4" x14ac:dyDescent="0.3">
      <c r="C31" s="2" t="str">
        <f t="shared" ca="1" si="5"/>
        <v>严雨</v>
      </c>
      <c r="D31" s="2">
        <f t="shared" ca="1" si="6"/>
        <v>42</v>
      </c>
    </row>
    <row r="32" spans="3:4" x14ac:dyDescent="0.3">
      <c r="C32" s="2" t="str">
        <f t="shared" ca="1" si="5"/>
        <v>卫芳花</v>
      </c>
      <c r="D32" s="2">
        <f t="shared" ca="1" si="6"/>
        <v>100</v>
      </c>
    </row>
    <row r="33" spans="3:4" x14ac:dyDescent="0.3">
      <c r="C33" s="2" t="str">
        <f t="shared" ca="1" si="5"/>
        <v>周暖云</v>
      </c>
      <c r="D33" s="2">
        <f t="shared" ca="1" si="6"/>
        <v>75</v>
      </c>
    </row>
    <row r="34" spans="3:4" x14ac:dyDescent="0.3">
      <c r="C34" s="2" t="str">
        <f t="shared" ca="1" si="5"/>
        <v>郑羽玉</v>
      </c>
      <c r="D34" s="2">
        <f t="shared" ca="1" si="6"/>
        <v>104</v>
      </c>
    </row>
    <row r="35" spans="3:4" x14ac:dyDescent="0.3">
      <c r="C35" s="2" t="str">
        <f t="shared" ca="1" si="5"/>
        <v>曹叶</v>
      </c>
      <c r="D35" s="2">
        <f t="shared" ca="1" si="6"/>
        <v>85</v>
      </c>
    </row>
    <row r="36" spans="3:4" x14ac:dyDescent="0.3">
      <c r="C36" s="2" t="str">
        <f t="shared" ca="1" si="5"/>
        <v>褚艺</v>
      </c>
      <c r="D36" s="2">
        <f t="shared" ca="1" si="6"/>
        <v>94</v>
      </c>
    </row>
    <row r="37" spans="3:4" x14ac:dyDescent="0.3">
      <c r="C37" s="2" t="str">
        <f t="shared" ca="1" si="5"/>
        <v>孔叶</v>
      </c>
      <c r="D37" s="2">
        <f t="shared" ca="1" si="6"/>
        <v>79</v>
      </c>
    </row>
    <row r="38" spans="3:4" x14ac:dyDescent="0.3">
      <c r="C38" s="2" t="str">
        <f t="shared" ca="1" si="5"/>
        <v>王茜叶</v>
      </c>
      <c r="D38" s="2">
        <f t="shared" ca="1" si="6"/>
        <v>61</v>
      </c>
    </row>
    <row r="39" spans="3:4" x14ac:dyDescent="0.3">
      <c r="C39" s="2" t="str">
        <f t="shared" ca="1" si="5"/>
        <v>李秒虹</v>
      </c>
      <c r="D39" s="2">
        <f t="shared" ca="1" si="6"/>
        <v>43</v>
      </c>
    </row>
    <row r="40" spans="3:4" x14ac:dyDescent="0.3">
      <c r="C40" s="2" t="str">
        <f t="shared" ca="1" si="5"/>
        <v>吴秒双</v>
      </c>
      <c r="D40" s="2">
        <f t="shared" ca="1" si="6"/>
        <v>59</v>
      </c>
    </row>
    <row r="41" spans="3:4" x14ac:dyDescent="0.3">
      <c r="C41" s="2" t="str">
        <f t="shared" ca="1" si="5"/>
        <v>孔艺虹</v>
      </c>
      <c r="D41" s="2">
        <f t="shared" ca="1" si="6"/>
        <v>99</v>
      </c>
    </row>
    <row r="42" spans="3:4" x14ac:dyDescent="0.3">
      <c r="C42" s="2" t="str">
        <f t="shared" ca="1" si="5"/>
        <v>赵玉</v>
      </c>
      <c r="D42" s="2">
        <f t="shared" ca="1" si="6"/>
        <v>78</v>
      </c>
    </row>
    <row r="43" spans="3:4" x14ac:dyDescent="0.3">
      <c r="C43" s="2" t="str">
        <f t="shared" ca="1" si="5"/>
        <v>孙雨雨</v>
      </c>
      <c r="D43" s="2">
        <f t="shared" ca="1" si="6"/>
        <v>60</v>
      </c>
    </row>
    <row r="44" spans="3:4" x14ac:dyDescent="0.3">
      <c r="C44" s="2" t="str">
        <f t="shared" ca="1" si="5"/>
        <v>曹艺</v>
      </c>
      <c r="D44" s="2">
        <f t="shared" ca="1" si="6"/>
        <v>97</v>
      </c>
    </row>
    <row r="45" spans="3:4" x14ac:dyDescent="0.3">
      <c r="C45" s="2" t="str">
        <f t="shared" ca="1" si="5"/>
        <v>李暖艺</v>
      </c>
      <c r="D45" s="2">
        <f t="shared" ca="1" si="6"/>
        <v>78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厚冰 张</dc:creator>
  <cp:lastModifiedBy>厚冰 张</cp:lastModifiedBy>
  <dcterms:created xsi:type="dcterms:W3CDTF">2024-07-25T06:50:14Z</dcterms:created>
  <dcterms:modified xsi:type="dcterms:W3CDTF">2024-07-25T07:47:40Z</dcterms:modified>
</cp:coreProperties>
</file>