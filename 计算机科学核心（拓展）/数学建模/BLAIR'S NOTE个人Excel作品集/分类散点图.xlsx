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E:\desktop\"/>
    </mc:Choice>
  </mc:AlternateContent>
  <xr:revisionPtr revIDLastSave="0" documentId="8_{58BE52C5-321C-4F0B-80B2-B64E69476D63}" xr6:coauthVersionLast="47" xr6:coauthVersionMax="47" xr10:uidLastSave="{00000000-0000-0000-0000-000000000000}"/>
  <bookViews>
    <workbookView xWindow="-110" yWindow="-110" windowWidth="21820" windowHeight="13900" xr2:uid="{2EB5C8D0-C5DA-4A57-8155-BC3F1BE35D28}"/>
  </bookViews>
  <sheets>
    <sheet name="Sheet1" sheetId="1" r:id="rId1"/>
  </sheets>
  <calcPr calcId="191029"/>
  <pivotCaches>
    <pivotCache cacheId="27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0" i="1" l="1"/>
  <c r="E11" i="1" s="1"/>
  <c r="E12" i="1" s="1"/>
  <c r="E13" i="1" s="1"/>
  <c r="E14" i="1" s="1"/>
  <c r="E9" i="1"/>
  <c r="E4" i="1"/>
  <c r="E5" i="1" s="1"/>
  <c r="E6" i="1" s="1"/>
  <c r="E7" i="1" s="1"/>
  <c r="E8" i="1" s="1"/>
  <c r="E3" i="1"/>
  <c r="F3" i="1"/>
  <c r="E55" i="1"/>
  <c r="E56" i="1"/>
  <c r="E57" i="1"/>
  <c r="E58" i="1"/>
  <c r="E59" i="1"/>
  <c r="E60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D34" i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/>
  <c r="D49" i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2" i="1"/>
  <c r="C2" i="1"/>
  <c r="C3" i="1" s="1"/>
  <c r="C4" i="1" s="1"/>
  <c r="D18" i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2" i="1"/>
  <c r="D3" i="1" s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F4" i="1" l="1"/>
  <c r="F2" i="1"/>
  <c r="C5" i="1"/>
  <c r="F5" i="1" s="1"/>
  <c r="C6" i="1" l="1"/>
  <c r="F6" i="1" s="1"/>
  <c r="C7" i="1" l="1"/>
  <c r="F7" i="1" s="1"/>
  <c r="C8" i="1" l="1"/>
  <c r="F8" i="1" s="1"/>
  <c r="C9" i="1" l="1"/>
  <c r="F9" i="1" s="1"/>
  <c r="C10" i="1" l="1"/>
  <c r="F10" i="1" s="1"/>
  <c r="C11" i="1" l="1"/>
  <c r="F11" i="1" s="1"/>
  <c r="C12" i="1" l="1"/>
  <c r="F12" i="1" s="1"/>
  <c r="C13" i="1" l="1"/>
  <c r="F13" i="1" s="1"/>
  <c r="C14" i="1" l="1"/>
  <c r="F14" i="1" s="1"/>
  <c r="C15" i="1" l="1"/>
  <c r="F15" i="1" s="1"/>
  <c r="C16" i="1" l="1"/>
  <c r="F16" i="1" s="1"/>
  <c r="C17" i="1" l="1"/>
  <c r="F17" i="1" s="1"/>
  <c r="C18" i="1" l="1"/>
  <c r="F18" i="1" s="1"/>
  <c r="C19" i="1" l="1"/>
  <c r="F19" i="1" s="1"/>
  <c r="C20" i="1" l="1"/>
  <c r="F20" i="1" s="1"/>
  <c r="C21" i="1" l="1"/>
  <c r="F21" i="1" s="1"/>
  <c r="C22" i="1" l="1"/>
  <c r="F22" i="1" s="1"/>
  <c r="C23" i="1" l="1"/>
  <c r="F23" i="1" s="1"/>
  <c r="C24" i="1" l="1"/>
  <c r="F24" i="1" s="1"/>
  <c r="C25" i="1" l="1"/>
  <c r="F25" i="1" s="1"/>
  <c r="C26" i="1" l="1"/>
  <c r="F26" i="1" s="1"/>
  <c r="C27" i="1" l="1"/>
  <c r="F27" i="1" s="1"/>
  <c r="C28" i="1" l="1"/>
  <c r="F28" i="1" s="1"/>
  <c r="C29" i="1" l="1"/>
  <c r="F29" i="1" s="1"/>
  <c r="C30" i="1" l="1"/>
  <c r="F30" i="1" s="1"/>
  <c r="C31" i="1" l="1"/>
  <c r="F31" i="1" s="1"/>
  <c r="C32" i="1" l="1"/>
  <c r="F32" i="1" s="1"/>
  <c r="C33" i="1" l="1"/>
  <c r="F33" i="1" s="1"/>
  <c r="C34" i="1" l="1"/>
  <c r="F34" i="1" s="1"/>
  <c r="C35" i="1" l="1"/>
  <c r="F35" i="1" s="1"/>
  <c r="C36" i="1" l="1"/>
  <c r="F36" i="1" s="1"/>
  <c r="C37" i="1" l="1"/>
  <c r="F37" i="1" s="1"/>
  <c r="C38" i="1" l="1"/>
  <c r="F38" i="1" s="1"/>
  <c r="C39" i="1" l="1"/>
  <c r="F39" i="1" s="1"/>
  <c r="C40" i="1" l="1"/>
  <c r="F40" i="1" s="1"/>
  <c r="C41" i="1" l="1"/>
  <c r="F41" i="1" s="1"/>
  <c r="C42" i="1" l="1"/>
  <c r="F42" i="1" s="1"/>
  <c r="C43" i="1" l="1"/>
  <c r="F43" i="1" s="1"/>
  <c r="C44" i="1" l="1"/>
  <c r="F44" i="1" s="1"/>
  <c r="C45" i="1" l="1"/>
  <c r="F45" i="1" s="1"/>
  <c r="C46" i="1" l="1"/>
  <c r="F46" i="1" s="1"/>
  <c r="C47" i="1" l="1"/>
  <c r="F47" i="1" s="1"/>
  <c r="C48" i="1" l="1"/>
  <c r="F48" i="1" s="1"/>
  <c r="C49" i="1" l="1"/>
  <c r="F49" i="1" s="1"/>
  <c r="C50" i="1" l="1"/>
  <c r="F50" i="1" s="1"/>
  <c r="C51" i="1" l="1"/>
  <c r="F51" i="1" s="1"/>
  <c r="C52" i="1" l="1"/>
  <c r="F52" i="1" s="1"/>
  <c r="C53" i="1" l="1"/>
  <c r="F53" i="1" s="1"/>
  <c r="C54" i="1" l="1"/>
  <c r="F54" i="1" s="1"/>
  <c r="C55" i="1" l="1"/>
  <c r="F55" i="1" s="1"/>
  <c r="C56" i="1" l="1"/>
  <c r="F56" i="1" s="1"/>
  <c r="C57" i="1" l="1"/>
  <c r="F57" i="1" s="1"/>
  <c r="C58" i="1" l="1"/>
  <c r="F58" i="1" s="1"/>
  <c r="C59" i="1" l="1"/>
  <c r="F59" i="1" s="1"/>
  <c r="C60" i="1" l="1"/>
  <c r="F6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huawei</author>
  </authors>
  <commentList>
    <comment ref="E2" authorId="0" shapeId="0" xr:uid="{8ADFDDAC-ED4B-4A69-9B35-CE46471A07F6}">
      <text>
        <r>
          <rPr>
            <b/>
            <sz val="9"/>
            <color indexed="81"/>
            <rFont val="宋体"/>
            <family val="3"/>
            <charset val="134"/>
          </rPr>
          <t>huawei:</t>
        </r>
        <r>
          <rPr>
            <sz val="9"/>
            <color indexed="81"/>
            <rFont val="宋体"/>
            <family val="3"/>
            <charset val="134"/>
          </rPr>
          <t xml:space="preserve">
=IF(A2&lt;&gt;A1,1/COUNTIF(A:A,A2),E1)
For higher performance.</t>
        </r>
      </text>
    </comment>
  </commentList>
</comments>
</file>

<file path=xl/sharedStrings.xml><?xml version="1.0" encoding="utf-8"?>
<sst xmlns="http://schemas.openxmlformats.org/spreadsheetml/2006/main" count="74" uniqueCount="17">
  <si>
    <t>分组</t>
    <phoneticPr fontId="1" type="noConversion"/>
  </si>
  <si>
    <t>数值</t>
    <phoneticPr fontId="1" type="noConversion"/>
  </si>
  <si>
    <t>Group1</t>
  </si>
  <si>
    <t>Group1</t>
    <phoneticPr fontId="1" type="noConversion"/>
  </si>
  <si>
    <t>Group2</t>
  </si>
  <si>
    <t>Group3</t>
  </si>
  <si>
    <t>Group4</t>
  </si>
  <si>
    <t>Group2</t>
    <phoneticPr fontId="1" type="noConversion"/>
  </si>
  <si>
    <t>辅助2</t>
    <phoneticPr fontId="1" type="noConversion"/>
  </si>
  <si>
    <t>标序</t>
    <phoneticPr fontId="1" type="noConversion"/>
  </si>
  <si>
    <t>辅助1</t>
    <phoneticPr fontId="1" type="noConversion"/>
  </si>
  <si>
    <t>辅助4</t>
    <phoneticPr fontId="1" type="noConversion"/>
  </si>
  <si>
    <t>横向间距</t>
    <phoneticPr fontId="1" type="noConversion"/>
  </si>
  <si>
    <t>X轴</t>
    <phoneticPr fontId="1" type="noConversion"/>
  </si>
  <si>
    <t>行标签</t>
  </si>
  <si>
    <t>总计</t>
  </si>
  <si>
    <t>平均值项:数值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</si>
</sst>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1F7ED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pivotButton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</cellXfs>
  <cellStyles count="1">
    <cellStyle name="常规" xfId="0" builtinId="0"/>
  </cellStyles>
  <dxfs count="24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colors>
    <mruColors>
      <color rgb="FF578537"/>
      <color rgb="FFD8E9CD"/>
      <color rgb="FFE6F1DF"/>
      <color rgb="FFF4F9F1"/>
      <color rgb="FFF1F7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Group1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Sheet1!$F$2:$F$17</c:f>
              <c:numCache>
                <c:formatCode>General</c:formatCode>
                <c:ptCount val="16"/>
                <c:pt idx="0">
                  <c:v>1.0625</c:v>
                </c:pt>
                <c:pt idx="1">
                  <c:v>1.125</c:v>
                </c:pt>
                <c:pt idx="2">
                  <c:v>1.1875</c:v>
                </c:pt>
                <c:pt idx="3">
                  <c:v>1.25</c:v>
                </c:pt>
                <c:pt idx="4">
                  <c:v>1.3125</c:v>
                </c:pt>
                <c:pt idx="5">
                  <c:v>1.375</c:v>
                </c:pt>
                <c:pt idx="6">
                  <c:v>1.4375</c:v>
                </c:pt>
                <c:pt idx="7">
                  <c:v>1.5</c:v>
                </c:pt>
                <c:pt idx="8">
                  <c:v>1.5625</c:v>
                </c:pt>
                <c:pt idx="9">
                  <c:v>1.625</c:v>
                </c:pt>
                <c:pt idx="10">
                  <c:v>1.6875</c:v>
                </c:pt>
                <c:pt idx="11">
                  <c:v>1.75</c:v>
                </c:pt>
                <c:pt idx="12">
                  <c:v>1.8125</c:v>
                </c:pt>
                <c:pt idx="13">
                  <c:v>1.875</c:v>
                </c:pt>
                <c:pt idx="14">
                  <c:v>1.9375</c:v>
                </c:pt>
                <c:pt idx="15">
                  <c:v>2</c:v>
                </c:pt>
              </c:numCache>
            </c:numRef>
          </c:xVal>
          <c:yVal>
            <c:numRef>
              <c:f>Sheet1!$B$2:$B$17</c:f>
              <c:numCache>
                <c:formatCode>General</c:formatCode>
                <c:ptCount val="16"/>
                <c:pt idx="0">
                  <c:v>971</c:v>
                </c:pt>
                <c:pt idx="1">
                  <c:v>4694</c:v>
                </c:pt>
                <c:pt idx="2">
                  <c:v>4039</c:v>
                </c:pt>
                <c:pt idx="3">
                  <c:v>5054</c:v>
                </c:pt>
                <c:pt idx="4">
                  <c:v>6513</c:v>
                </c:pt>
                <c:pt idx="5">
                  <c:v>1699</c:v>
                </c:pt>
                <c:pt idx="6">
                  <c:v>8018</c:v>
                </c:pt>
                <c:pt idx="7">
                  <c:v>9838</c:v>
                </c:pt>
                <c:pt idx="8">
                  <c:v>8726</c:v>
                </c:pt>
                <c:pt idx="9">
                  <c:v>168</c:v>
                </c:pt>
                <c:pt idx="10">
                  <c:v>3333</c:v>
                </c:pt>
                <c:pt idx="11">
                  <c:v>112</c:v>
                </c:pt>
                <c:pt idx="12">
                  <c:v>2050</c:v>
                </c:pt>
                <c:pt idx="13">
                  <c:v>9999</c:v>
                </c:pt>
                <c:pt idx="14">
                  <c:v>4295</c:v>
                </c:pt>
                <c:pt idx="15">
                  <c:v>4667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1BD-4BAD-85E8-15BCD75819F8}"/>
            </c:ext>
          </c:extLst>
        </c:ser>
        <c:ser>
          <c:idx val="1"/>
          <c:order val="1"/>
          <c:tx>
            <c:strRef>
              <c:f>Sheet1!$A$29</c:f>
              <c:strCache>
                <c:ptCount val="1"/>
                <c:pt idx="0">
                  <c:v>Group2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Sheet1!$F$18:$F$29</c:f>
              <c:numCache>
                <c:formatCode>General</c:formatCode>
                <c:ptCount val="12"/>
                <c:pt idx="0">
                  <c:v>3.0625</c:v>
                </c:pt>
                <c:pt idx="1">
                  <c:v>3.125</c:v>
                </c:pt>
                <c:pt idx="2">
                  <c:v>3.1875</c:v>
                </c:pt>
                <c:pt idx="3">
                  <c:v>3.25</c:v>
                </c:pt>
                <c:pt idx="4">
                  <c:v>3.3125</c:v>
                </c:pt>
                <c:pt idx="5">
                  <c:v>3.375</c:v>
                </c:pt>
                <c:pt idx="6">
                  <c:v>3.4375</c:v>
                </c:pt>
                <c:pt idx="7">
                  <c:v>3.5</c:v>
                </c:pt>
                <c:pt idx="8">
                  <c:v>3.5625</c:v>
                </c:pt>
                <c:pt idx="9">
                  <c:v>3.625</c:v>
                </c:pt>
                <c:pt idx="10">
                  <c:v>3.6875</c:v>
                </c:pt>
                <c:pt idx="11">
                  <c:v>3.75</c:v>
                </c:pt>
              </c:numCache>
            </c:numRef>
          </c:xVal>
          <c:yVal>
            <c:numRef>
              <c:f>Sheet1!$B$18:$B$29</c:f>
              <c:numCache>
                <c:formatCode>General</c:formatCode>
                <c:ptCount val="12"/>
                <c:pt idx="0">
                  <c:v>8576</c:v>
                </c:pt>
                <c:pt idx="1">
                  <c:v>3903</c:v>
                </c:pt>
                <c:pt idx="2">
                  <c:v>200</c:v>
                </c:pt>
                <c:pt idx="3">
                  <c:v>999</c:v>
                </c:pt>
                <c:pt idx="4">
                  <c:v>3925</c:v>
                </c:pt>
                <c:pt idx="5">
                  <c:v>5178</c:v>
                </c:pt>
                <c:pt idx="6">
                  <c:v>9417</c:v>
                </c:pt>
                <c:pt idx="7">
                  <c:v>2363</c:v>
                </c:pt>
                <c:pt idx="8">
                  <c:v>1879</c:v>
                </c:pt>
                <c:pt idx="9">
                  <c:v>4417</c:v>
                </c:pt>
                <c:pt idx="10">
                  <c:v>8066</c:v>
                </c:pt>
                <c:pt idx="11">
                  <c:v>5933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1BD-4BAD-85E8-15BCD75819F8}"/>
            </c:ext>
          </c:extLst>
        </c:ser>
        <c:ser>
          <c:idx val="2"/>
          <c:order val="2"/>
          <c:tx>
            <c:strRef>
              <c:f>Sheet1!$A$39</c:f>
              <c:strCache>
                <c:ptCount val="1"/>
                <c:pt idx="0">
                  <c:v>Group3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Sheet1!$F$34:$F$47</c:f>
              <c:numCache>
                <c:formatCode>General</c:formatCode>
                <c:ptCount val="14"/>
                <c:pt idx="0">
                  <c:v>5.0714285714285712</c:v>
                </c:pt>
                <c:pt idx="1">
                  <c:v>5.1428571428571432</c:v>
                </c:pt>
                <c:pt idx="2">
                  <c:v>5.2142857142857153</c:v>
                </c:pt>
                <c:pt idx="3">
                  <c:v>5.2857142857142865</c:v>
                </c:pt>
                <c:pt idx="4">
                  <c:v>5.3571428571428577</c:v>
                </c:pt>
                <c:pt idx="5">
                  <c:v>5.4285714285714297</c:v>
                </c:pt>
                <c:pt idx="6">
                  <c:v>5.5000000000000018</c:v>
                </c:pt>
                <c:pt idx="7">
                  <c:v>5.571428571428573</c:v>
                </c:pt>
                <c:pt idx="8">
                  <c:v>5.6428571428571441</c:v>
                </c:pt>
                <c:pt idx="9">
                  <c:v>5.7142857142857162</c:v>
                </c:pt>
                <c:pt idx="10">
                  <c:v>5.7857142857142883</c:v>
                </c:pt>
                <c:pt idx="11">
                  <c:v>5.8571428571428594</c:v>
                </c:pt>
                <c:pt idx="12">
                  <c:v>5.9285714285714306</c:v>
                </c:pt>
                <c:pt idx="13">
                  <c:v>6.0000000000000027</c:v>
                </c:pt>
              </c:numCache>
            </c:numRef>
          </c:xVal>
          <c:yVal>
            <c:numRef>
              <c:f>Sheet1!$B$34:$B$47</c:f>
              <c:numCache>
                <c:formatCode>General</c:formatCode>
                <c:ptCount val="14"/>
                <c:pt idx="0">
                  <c:v>1110</c:v>
                </c:pt>
                <c:pt idx="1">
                  <c:v>9430</c:v>
                </c:pt>
                <c:pt idx="2">
                  <c:v>5247</c:v>
                </c:pt>
                <c:pt idx="3">
                  <c:v>5281</c:v>
                </c:pt>
                <c:pt idx="4">
                  <c:v>8321</c:v>
                </c:pt>
                <c:pt idx="5">
                  <c:v>5516</c:v>
                </c:pt>
                <c:pt idx="6">
                  <c:v>2077</c:v>
                </c:pt>
                <c:pt idx="7">
                  <c:v>234</c:v>
                </c:pt>
                <c:pt idx="8">
                  <c:v>9736</c:v>
                </c:pt>
                <c:pt idx="9">
                  <c:v>432</c:v>
                </c:pt>
                <c:pt idx="10">
                  <c:v>1759</c:v>
                </c:pt>
                <c:pt idx="11">
                  <c:v>2167</c:v>
                </c:pt>
                <c:pt idx="12">
                  <c:v>2169</c:v>
                </c:pt>
                <c:pt idx="13">
                  <c:v>2344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1BD-4BAD-85E8-15BCD75819F8}"/>
            </c:ext>
          </c:extLst>
        </c:ser>
        <c:ser>
          <c:idx val="3"/>
          <c:order val="3"/>
          <c:tx>
            <c:strRef>
              <c:f>Sheet1!$A$51</c:f>
              <c:strCache>
                <c:ptCount val="1"/>
                <c:pt idx="0">
                  <c:v>Group4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Sheet1!$F$48:$F$60</c:f>
              <c:numCache>
                <c:formatCode>General</c:formatCode>
                <c:ptCount val="13"/>
                <c:pt idx="0">
                  <c:v>7.0769230769230802</c:v>
                </c:pt>
                <c:pt idx="1">
                  <c:v>7.1538461538461569</c:v>
                </c:pt>
                <c:pt idx="2">
                  <c:v>7.2307692307692335</c:v>
                </c:pt>
                <c:pt idx="3">
                  <c:v>7.307692307692311</c:v>
                </c:pt>
                <c:pt idx="4">
                  <c:v>7.3846153846153886</c:v>
                </c:pt>
                <c:pt idx="5">
                  <c:v>7.4615384615384652</c:v>
                </c:pt>
                <c:pt idx="6">
                  <c:v>7.5384615384615419</c:v>
                </c:pt>
                <c:pt idx="7">
                  <c:v>7.6153846153846194</c:v>
                </c:pt>
                <c:pt idx="8">
                  <c:v>7.692307692307697</c:v>
                </c:pt>
                <c:pt idx="9">
                  <c:v>7.7692307692307736</c:v>
                </c:pt>
                <c:pt idx="10">
                  <c:v>7.8461538461538503</c:v>
                </c:pt>
                <c:pt idx="11">
                  <c:v>7.9230769230769278</c:v>
                </c:pt>
                <c:pt idx="12">
                  <c:v>8.0000000000000036</c:v>
                </c:pt>
              </c:numCache>
            </c:numRef>
          </c:xVal>
          <c:yVal>
            <c:numRef>
              <c:f>Sheet1!$B$48:$B$60</c:f>
              <c:numCache>
                <c:formatCode>General</c:formatCode>
                <c:ptCount val="13"/>
                <c:pt idx="0">
                  <c:v>5096</c:v>
                </c:pt>
                <c:pt idx="1">
                  <c:v>2102</c:v>
                </c:pt>
                <c:pt idx="2">
                  <c:v>8772</c:v>
                </c:pt>
                <c:pt idx="3">
                  <c:v>7854</c:v>
                </c:pt>
                <c:pt idx="4">
                  <c:v>7040</c:v>
                </c:pt>
                <c:pt idx="5">
                  <c:v>6043</c:v>
                </c:pt>
                <c:pt idx="6">
                  <c:v>8179</c:v>
                </c:pt>
                <c:pt idx="7">
                  <c:v>1722</c:v>
                </c:pt>
                <c:pt idx="8">
                  <c:v>2159</c:v>
                </c:pt>
                <c:pt idx="9">
                  <c:v>8415</c:v>
                </c:pt>
                <c:pt idx="10">
                  <c:v>8653</c:v>
                </c:pt>
                <c:pt idx="11">
                  <c:v>9596</c:v>
                </c:pt>
                <c:pt idx="12">
                  <c:v>1753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1BD-4BAD-85E8-15BCD75819F8}"/>
            </c:ext>
          </c:extLst>
        </c:ser>
        <c:ser>
          <c:idx val="4"/>
          <c:order val="4"/>
          <c:tx>
            <c:v>Average</c:v>
          </c:tx>
          <c:spPr>
            <a:ln w="25400" cap="rnd">
              <a:solidFill>
                <a:srgbClr val="578537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rgbClr val="578537"/>
                </a:solidFill>
              </a:ln>
              <a:effectLst/>
            </c:spPr>
          </c:marker>
          <c:xVal>
            <c:numRef>
              <c:f>(Sheet1!$F$9,Sheet1!$F$25,Sheet1!$F$40,Sheet1!$F$54)</c:f>
              <c:numCache>
                <c:formatCode>General</c:formatCode>
                <c:ptCount val="4"/>
                <c:pt idx="0">
                  <c:v>1.5</c:v>
                </c:pt>
                <c:pt idx="1">
                  <c:v>3.5</c:v>
                </c:pt>
                <c:pt idx="2">
                  <c:v>5.5000000000000018</c:v>
                </c:pt>
                <c:pt idx="3">
                  <c:v>7.5384615384615419</c:v>
                </c:pt>
              </c:numCache>
            </c:numRef>
          </c:xVal>
          <c:yVal>
            <c:numRef>
              <c:f>Sheet1!$J$26:$J$29</c:f>
              <c:numCache>
                <c:formatCode>0_ </c:formatCode>
                <c:ptCount val="4"/>
                <c:pt idx="0">
                  <c:v>4636</c:v>
                </c:pt>
                <c:pt idx="1">
                  <c:v>5348.0625</c:v>
                </c:pt>
                <c:pt idx="2">
                  <c:v>3987.3571428571427</c:v>
                </c:pt>
                <c:pt idx="3">
                  <c:v>5952.6153846153848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1BD-4BAD-85E8-15BCD75819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3643056"/>
        <c:axId val="613653616"/>
      </c:scatterChart>
      <c:valAx>
        <c:axId val="613643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spc="-10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zh-CN"/>
          </a:p>
        </c:txPr>
        <c:crossAx val="613653616"/>
        <c:crosses val="autoZero"/>
        <c:crossBetween val="midCat"/>
        <c:majorUnit val="1"/>
      </c:valAx>
      <c:valAx>
        <c:axId val="613653616"/>
        <c:scaling>
          <c:orientation val="minMax"/>
          <c:max val="10000"/>
        </c:scaling>
        <c:delete val="0"/>
        <c:axPos val="l"/>
        <c:majorGridlines>
          <c:spPr>
            <a:ln w="6350" cap="flat" cmpd="sng" algn="ctr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</c:majorGridlines>
        <c:minorGridlines>
          <c:spPr>
            <a:ln w="9525" cap="flat" cmpd="sng" algn="ctr">
              <a:noFill/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ISOCP" panose="00000400000000000000" pitchFamily="2" charset="0"/>
                <a:ea typeface="+mn-ea"/>
                <a:cs typeface="+mn-cs"/>
              </a:defRPr>
            </a:pPr>
            <a:endParaRPr lang="zh-CN"/>
          </a:p>
        </c:txPr>
        <c:crossAx val="613643056"/>
        <c:crosses val="autoZero"/>
        <c:crossBetween val="midCat"/>
      </c:valAx>
      <c:spPr>
        <a:solidFill>
          <a:srgbClr val="D8E9CD"/>
        </a:solidFill>
        <a:ln w="6350" cap="flat" cmpd="dbl">
          <a:solidFill>
            <a:schemeClr val="accent6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E6F1DF"/>
    </a:solidFill>
    <a:ln w="6350" cap="flat" cmpd="dbl" algn="ctr">
      <a:solidFill>
        <a:schemeClr val="accent6"/>
      </a:solidFill>
      <a:round/>
    </a:ln>
    <a:effectLst/>
  </c:spPr>
  <c:txPr>
    <a:bodyPr/>
    <a:lstStyle/>
    <a:p>
      <a:pPr>
        <a:defRPr sz="1200" b="1" i="0" spc="-100" baseline="0">
          <a:latin typeface="+mj-lt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211112</xdr:colOff>
      <xdr:row>1</xdr:row>
      <xdr:rowOff>50671</xdr:rowOff>
    </xdr:from>
    <xdr:to>
      <xdr:col>15</xdr:col>
      <xdr:colOff>378663</xdr:colOff>
      <xdr:row>19</xdr:row>
      <xdr:rowOff>54013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A00E3BE4-F502-76DC-DC1E-2058085E3C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uawei" refreshedDate="45497.687261689818" createdVersion="8" refreshedVersion="8" minRefreshableVersion="3" recordCount="59" xr:uid="{D9253D83-6131-4C31-B119-18B4E95C4473}">
  <cacheSource type="worksheet">
    <worksheetSource ref="A1:B60" sheet="Sheet1"/>
  </cacheSource>
  <cacheFields count="2">
    <cacheField name="分组" numFmtId="0">
      <sharedItems count="4">
        <s v="Group1"/>
        <s v="Group2"/>
        <s v="Group3"/>
        <s v="Group4"/>
      </sharedItems>
    </cacheField>
    <cacheField name="数值" numFmtId="0">
      <sharedItems containsSemiMixedTypes="0" containsString="0" containsNumber="1" containsInteger="1" minValue="112" maxValue="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">
  <r>
    <x v="0"/>
    <n v="971"/>
  </r>
  <r>
    <x v="0"/>
    <n v="4694"/>
  </r>
  <r>
    <x v="0"/>
    <n v="4039"/>
  </r>
  <r>
    <x v="0"/>
    <n v="5054"/>
  </r>
  <r>
    <x v="0"/>
    <n v="6513"/>
  </r>
  <r>
    <x v="0"/>
    <n v="1699"/>
  </r>
  <r>
    <x v="0"/>
    <n v="8018"/>
  </r>
  <r>
    <x v="0"/>
    <n v="9838"/>
  </r>
  <r>
    <x v="0"/>
    <n v="8726"/>
  </r>
  <r>
    <x v="0"/>
    <n v="168"/>
  </r>
  <r>
    <x v="0"/>
    <n v="3333"/>
  </r>
  <r>
    <x v="0"/>
    <n v="112"/>
  </r>
  <r>
    <x v="0"/>
    <n v="2050"/>
  </r>
  <r>
    <x v="0"/>
    <n v="9999"/>
  </r>
  <r>
    <x v="0"/>
    <n v="4295"/>
  </r>
  <r>
    <x v="0"/>
    <n v="4667"/>
  </r>
  <r>
    <x v="1"/>
    <n v="8576"/>
  </r>
  <r>
    <x v="1"/>
    <n v="3903"/>
  </r>
  <r>
    <x v="1"/>
    <n v="200"/>
  </r>
  <r>
    <x v="1"/>
    <n v="999"/>
  </r>
  <r>
    <x v="1"/>
    <n v="3925"/>
  </r>
  <r>
    <x v="1"/>
    <n v="5178"/>
  </r>
  <r>
    <x v="1"/>
    <n v="9417"/>
  </r>
  <r>
    <x v="1"/>
    <n v="2363"/>
  </r>
  <r>
    <x v="1"/>
    <n v="1879"/>
  </r>
  <r>
    <x v="1"/>
    <n v="4417"/>
  </r>
  <r>
    <x v="1"/>
    <n v="8066"/>
  </r>
  <r>
    <x v="1"/>
    <n v="5933"/>
  </r>
  <r>
    <x v="1"/>
    <n v="8818"/>
  </r>
  <r>
    <x v="1"/>
    <n v="8190"/>
  </r>
  <r>
    <x v="1"/>
    <n v="8715"/>
  </r>
  <r>
    <x v="1"/>
    <n v="4990"/>
  </r>
  <r>
    <x v="2"/>
    <n v="1110"/>
  </r>
  <r>
    <x v="2"/>
    <n v="9430"/>
  </r>
  <r>
    <x v="2"/>
    <n v="5247"/>
  </r>
  <r>
    <x v="2"/>
    <n v="5281"/>
  </r>
  <r>
    <x v="2"/>
    <n v="8321"/>
  </r>
  <r>
    <x v="2"/>
    <n v="5516"/>
  </r>
  <r>
    <x v="2"/>
    <n v="2077"/>
  </r>
  <r>
    <x v="2"/>
    <n v="234"/>
  </r>
  <r>
    <x v="2"/>
    <n v="9736"/>
  </r>
  <r>
    <x v="2"/>
    <n v="432"/>
  </r>
  <r>
    <x v="2"/>
    <n v="1759"/>
  </r>
  <r>
    <x v="2"/>
    <n v="2167"/>
  </r>
  <r>
    <x v="2"/>
    <n v="2169"/>
  </r>
  <r>
    <x v="2"/>
    <n v="2344"/>
  </r>
  <r>
    <x v="3"/>
    <n v="5096"/>
  </r>
  <r>
    <x v="3"/>
    <n v="2102"/>
  </r>
  <r>
    <x v="3"/>
    <n v="8772"/>
  </r>
  <r>
    <x v="3"/>
    <n v="7854"/>
  </r>
  <r>
    <x v="3"/>
    <n v="7040"/>
  </r>
  <r>
    <x v="3"/>
    <n v="6043"/>
  </r>
  <r>
    <x v="3"/>
    <n v="8179"/>
  </r>
  <r>
    <x v="3"/>
    <n v="1722"/>
  </r>
  <r>
    <x v="3"/>
    <n v="2159"/>
  </r>
  <r>
    <x v="3"/>
    <n v="8415"/>
  </r>
  <r>
    <x v="3"/>
    <n v="8653"/>
  </r>
  <r>
    <x v="3"/>
    <n v="9596"/>
  </r>
  <r>
    <x v="3"/>
    <n v="175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CC2D18-412C-45FD-83FB-118DA19268CC}" name="数据透视表4" cacheId="27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I25:J30" firstHeaderRow="1" firstDataRow="1" firstDataCol="1"/>
  <pivotFields count="2">
    <pivotField axis="axisRow" showAll="0">
      <items count="5">
        <item x="0"/>
        <item x="1"/>
        <item x="2"/>
        <item x="3"/>
        <item t="default"/>
      </items>
    </pivotField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平均值项:数值" fld="1" subtotal="average" baseField="0" baseItem="0" numFmtId="176"/>
  </dataFields>
  <formats count="6">
    <format dxfId="23">
      <pivotArea type="all" dataOnly="0" outline="0" fieldPosition="0"/>
    </format>
    <format dxfId="22">
      <pivotArea outline="0" collapsedLevelsAreSubtotals="1" fieldPosition="0"/>
    </format>
    <format dxfId="21">
      <pivotArea field="0" type="button" dataOnly="0" labelOnly="1" outline="0" axis="axisRow" fieldPosition="0"/>
    </format>
    <format dxfId="20">
      <pivotArea dataOnly="0" labelOnly="1" fieldPosition="0">
        <references count="1">
          <reference field="0" count="0"/>
        </references>
      </pivotArea>
    </format>
    <format dxfId="19">
      <pivotArea dataOnly="0" labelOnly="1" grandRow="1" outline="0" fieldPosition="0"/>
    </format>
    <format dxfId="1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550EF-6310-4D61-ACCA-E87E0A8CA9CF}">
  <dimension ref="A1:J61"/>
  <sheetViews>
    <sheetView tabSelected="1" zoomScale="93" workbookViewId="0">
      <selection activeCell="F2" sqref="F2"/>
    </sheetView>
  </sheetViews>
  <sheetFormatPr defaultRowHeight="14" x14ac:dyDescent="0.3"/>
  <cols>
    <col min="1" max="1" width="8.83203125" style="1" bestFit="1" customWidth="1"/>
    <col min="2" max="2" width="12.9140625" style="1" bestFit="1" customWidth="1"/>
    <col min="3" max="3" width="12.4140625" style="1" bestFit="1" customWidth="1"/>
    <col min="4" max="4" width="10.9140625" style="1" hidden="1" customWidth="1"/>
    <col min="5" max="6" width="10.9140625" style="1" bestFit="1" customWidth="1"/>
    <col min="7" max="8" width="8.6640625" style="1"/>
    <col min="9" max="9" width="11.33203125" style="1" bestFit="1" customWidth="1"/>
    <col min="10" max="10" width="13.25" style="1" bestFit="1" customWidth="1"/>
    <col min="11" max="16384" width="8.6640625" style="1"/>
  </cols>
  <sheetData>
    <row r="1" spans="1:6" x14ac:dyDescent="0.3">
      <c r="A1" s="2" t="s">
        <v>0</v>
      </c>
      <c r="B1" s="2" t="s">
        <v>1</v>
      </c>
      <c r="C1" s="6" t="s">
        <v>10</v>
      </c>
      <c r="D1" s="6" t="s">
        <v>8</v>
      </c>
      <c r="E1" s="6" t="s">
        <v>11</v>
      </c>
      <c r="F1" s="6" t="s">
        <v>13</v>
      </c>
    </row>
    <row r="2" spans="1:6" x14ac:dyDescent="0.3">
      <c r="A2" s="3" t="s">
        <v>3</v>
      </c>
      <c r="B2" s="3">
        <v>971</v>
      </c>
      <c r="C2" s="7">
        <f>SUM(C1,A1&lt;&gt;A2)</f>
        <v>1</v>
      </c>
      <c r="D2" s="7">
        <f>IF(A2=A1,D1+1,1)</f>
        <v>1</v>
      </c>
      <c r="E2" s="7">
        <f>1*(1/COUNTIF(A:A,A2))</f>
        <v>6.25E-2</v>
      </c>
      <c r="F2" s="7">
        <f>SUM($E$2:E2)+C2</f>
        <v>1.0625</v>
      </c>
    </row>
    <row r="3" spans="1:6" x14ac:dyDescent="0.3">
      <c r="A3" s="3" t="s">
        <v>3</v>
      </c>
      <c r="B3" s="3">
        <v>4694</v>
      </c>
      <c r="C3" s="7">
        <f t="shared" ref="C3:C60" si="0">SUM(C2,A2&lt;&gt;A3)</f>
        <v>1</v>
      </c>
      <c r="D3" s="7">
        <f t="shared" ref="D3:D60" si="1">IF(A3=A2,D2+1,1)</f>
        <v>2</v>
      </c>
      <c r="E3" s="7">
        <f>IF(A3&lt;&gt;A2,1/COUNTIF(A:A,A3),E2)</f>
        <v>6.25E-2</v>
      </c>
      <c r="F3" s="7">
        <f>SUM($E$2:E3)+C3</f>
        <v>1.125</v>
      </c>
    </row>
    <row r="4" spans="1:6" x14ac:dyDescent="0.3">
      <c r="A4" s="3" t="s">
        <v>3</v>
      </c>
      <c r="B4" s="3">
        <v>4039</v>
      </c>
      <c r="C4" s="7">
        <f>SUM(C3,A3&lt;&gt;A4)</f>
        <v>1</v>
      </c>
      <c r="D4" s="7">
        <f t="shared" si="1"/>
        <v>3</v>
      </c>
      <c r="E4" s="7">
        <f t="shared" ref="E4:E8" si="2">IF(A4&lt;&gt;A3,1/COUNTIF(A:A,A4),E3)</f>
        <v>6.25E-2</v>
      </c>
      <c r="F4" s="7">
        <f>SUM($E$2:E4)+C4</f>
        <v>1.1875</v>
      </c>
    </row>
    <row r="5" spans="1:6" x14ac:dyDescent="0.3">
      <c r="A5" s="3" t="s">
        <v>3</v>
      </c>
      <c r="B5" s="3">
        <v>5054</v>
      </c>
      <c r="C5" s="7">
        <f t="shared" si="0"/>
        <v>1</v>
      </c>
      <c r="D5" s="7">
        <f t="shared" si="1"/>
        <v>4</v>
      </c>
      <c r="E5" s="7">
        <f t="shared" si="2"/>
        <v>6.25E-2</v>
      </c>
      <c r="F5" s="7">
        <f>SUM($E$2:E5)+C5</f>
        <v>1.25</v>
      </c>
    </row>
    <row r="6" spans="1:6" x14ac:dyDescent="0.3">
      <c r="A6" s="3" t="s">
        <v>3</v>
      </c>
      <c r="B6" s="3">
        <v>6513</v>
      </c>
      <c r="C6" s="7">
        <f t="shared" si="0"/>
        <v>1</v>
      </c>
      <c r="D6" s="7">
        <f t="shared" si="1"/>
        <v>5</v>
      </c>
      <c r="E6" s="7">
        <f t="shared" si="2"/>
        <v>6.25E-2</v>
      </c>
      <c r="F6" s="7">
        <f>SUM($E$2:E6)+C6</f>
        <v>1.3125</v>
      </c>
    </row>
    <row r="7" spans="1:6" x14ac:dyDescent="0.3">
      <c r="A7" s="3" t="s">
        <v>3</v>
      </c>
      <c r="B7" s="3">
        <v>1699</v>
      </c>
      <c r="C7" s="7">
        <f t="shared" si="0"/>
        <v>1</v>
      </c>
      <c r="D7" s="7">
        <f t="shared" si="1"/>
        <v>6</v>
      </c>
      <c r="E7" s="7">
        <f t="shared" si="2"/>
        <v>6.25E-2</v>
      </c>
      <c r="F7" s="7">
        <f>SUM($E$2:E7)+C7</f>
        <v>1.375</v>
      </c>
    </row>
    <row r="8" spans="1:6" x14ac:dyDescent="0.3">
      <c r="A8" s="3" t="s">
        <v>3</v>
      </c>
      <c r="B8" s="3">
        <v>8018</v>
      </c>
      <c r="C8" s="7">
        <f t="shared" si="0"/>
        <v>1</v>
      </c>
      <c r="D8" s="7">
        <f t="shared" si="1"/>
        <v>7</v>
      </c>
      <c r="E8" s="7">
        <f t="shared" si="2"/>
        <v>6.25E-2</v>
      </c>
      <c r="F8" s="7">
        <f>SUM($E$2:E8)+C8</f>
        <v>1.4375</v>
      </c>
    </row>
    <row r="9" spans="1:6" x14ac:dyDescent="0.3">
      <c r="A9" s="3" t="s">
        <v>3</v>
      </c>
      <c r="B9" s="3">
        <v>9838</v>
      </c>
      <c r="C9" s="7">
        <f t="shared" si="0"/>
        <v>1</v>
      </c>
      <c r="D9" s="7">
        <f t="shared" si="1"/>
        <v>8</v>
      </c>
      <c r="E9" s="7">
        <f>IF(A9&lt;&gt;A8,1/COUNTIF(A:A,A9),E8)</f>
        <v>6.25E-2</v>
      </c>
      <c r="F9" s="7">
        <f>SUM($E$2:E9)+C9</f>
        <v>1.5</v>
      </c>
    </row>
    <row r="10" spans="1:6" x14ac:dyDescent="0.3">
      <c r="A10" s="3" t="s">
        <v>3</v>
      </c>
      <c r="B10" s="3">
        <v>8726</v>
      </c>
      <c r="C10" s="7">
        <f t="shared" si="0"/>
        <v>1</v>
      </c>
      <c r="D10" s="7">
        <f t="shared" si="1"/>
        <v>9</v>
      </c>
      <c r="E10" s="7">
        <f>IF(A10&lt;&gt;A9,1/COUNTIF(A:A,A10),E9)</f>
        <v>6.25E-2</v>
      </c>
      <c r="F10" s="7">
        <f>SUM($E$2:E10)+C10</f>
        <v>1.5625</v>
      </c>
    </row>
    <row r="11" spans="1:6" x14ac:dyDescent="0.3">
      <c r="A11" s="3" t="s">
        <v>3</v>
      </c>
      <c r="B11" s="3">
        <v>168</v>
      </c>
      <c r="C11" s="7">
        <f t="shared" si="0"/>
        <v>1</v>
      </c>
      <c r="D11" s="7">
        <f t="shared" si="1"/>
        <v>10</v>
      </c>
      <c r="E11" s="7">
        <f t="shared" ref="E11:E14" si="3">IF(A11&lt;&gt;A10,1/COUNTIF(A:A,A11),E10)</f>
        <v>6.25E-2</v>
      </c>
      <c r="F11" s="7">
        <f>SUM($E$2:E11)+C11</f>
        <v>1.625</v>
      </c>
    </row>
    <row r="12" spans="1:6" x14ac:dyDescent="0.3">
      <c r="A12" s="3" t="s">
        <v>3</v>
      </c>
      <c r="B12" s="3">
        <v>3333</v>
      </c>
      <c r="C12" s="7">
        <f t="shared" si="0"/>
        <v>1</v>
      </c>
      <c r="D12" s="7">
        <f t="shared" si="1"/>
        <v>11</v>
      </c>
      <c r="E12" s="7">
        <f t="shared" si="3"/>
        <v>6.25E-2</v>
      </c>
      <c r="F12" s="7">
        <f>SUM($E$2:E12)+C12</f>
        <v>1.6875</v>
      </c>
    </row>
    <row r="13" spans="1:6" x14ac:dyDescent="0.3">
      <c r="A13" s="3" t="s">
        <v>3</v>
      </c>
      <c r="B13" s="3">
        <v>112</v>
      </c>
      <c r="C13" s="7">
        <f t="shared" si="0"/>
        <v>1</v>
      </c>
      <c r="D13" s="7">
        <f t="shared" si="1"/>
        <v>12</v>
      </c>
      <c r="E13" s="7">
        <f t="shared" si="3"/>
        <v>6.25E-2</v>
      </c>
      <c r="F13" s="7">
        <f>SUM($E$2:E13)+C13</f>
        <v>1.75</v>
      </c>
    </row>
    <row r="14" spans="1:6" x14ac:dyDescent="0.3">
      <c r="A14" s="3" t="s">
        <v>3</v>
      </c>
      <c r="B14" s="3">
        <v>2050</v>
      </c>
      <c r="C14" s="7">
        <f t="shared" si="0"/>
        <v>1</v>
      </c>
      <c r="D14" s="7">
        <f t="shared" si="1"/>
        <v>13</v>
      </c>
      <c r="E14" s="7">
        <f t="shared" si="3"/>
        <v>6.25E-2</v>
      </c>
      <c r="F14" s="7">
        <f>SUM($E$2:E14)+C14</f>
        <v>1.8125</v>
      </c>
    </row>
    <row r="15" spans="1:6" x14ac:dyDescent="0.3">
      <c r="A15" s="3" t="s">
        <v>3</v>
      </c>
      <c r="B15" s="3">
        <v>9999</v>
      </c>
      <c r="C15" s="7">
        <f t="shared" si="0"/>
        <v>1</v>
      </c>
      <c r="D15" s="7">
        <f t="shared" si="1"/>
        <v>14</v>
      </c>
      <c r="E15" s="7">
        <f t="shared" ref="E3:E60" si="4">1*(1/COUNTIF(A:A,A15))</f>
        <v>6.25E-2</v>
      </c>
      <c r="F15" s="7">
        <f>SUM($E$2:E15)+C15</f>
        <v>1.875</v>
      </c>
    </row>
    <row r="16" spans="1:6" x14ac:dyDescent="0.3">
      <c r="A16" s="3" t="s">
        <v>3</v>
      </c>
      <c r="B16" s="3">
        <v>4295</v>
      </c>
      <c r="C16" s="7">
        <f t="shared" si="0"/>
        <v>1</v>
      </c>
      <c r="D16" s="7">
        <f t="shared" si="1"/>
        <v>15</v>
      </c>
      <c r="E16" s="7">
        <f t="shared" si="4"/>
        <v>6.25E-2</v>
      </c>
      <c r="F16" s="7">
        <f>SUM($E$2:E16)+C16</f>
        <v>1.9375</v>
      </c>
    </row>
    <row r="17" spans="1:10" x14ac:dyDescent="0.3">
      <c r="A17" s="3" t="s">
        <v>3</v>
      </c>
      <c r="B17" s="3">
        <v>4667</v>
      </c>
      <c r="C17" s="7">
        <f t="shared" si="0"/>
        <v>1</v>
      </c>
      <c r="D17" s="7">
        <f t="shared" si="1"/>
        <v>16</v>
      </c>
      <c r="E17" s="7">
        <f t="shared" si="4"/>
        <v>6.25E-2</v>
      </c>
      <c r="F17" s="7">
        <f>SUM($E$2:E17)+C17</f>
        <v>2</v>
      </c>
    </row>
    <row r="18" spans="1:10" x14ac:dyDescent="0.3">
      <c r="A18" s="3" t="s">
        <v>7</v>
      </c>
      <c r="B18" s="3">
        <v>8576</v>
      </c>
      <c r="C18" s="7">
        <f t="shared" si="0"/>
        <v>2</v>
      </c>
      <c r="D18" s="7">
        <f t="shared" si="1"/>
        <v>1</v>
      </c>
      <c r="E18" s="7">
        <f t="shared" si="4"/>
        <v>6.25E-2</v>
      </c>
      <c r="F18" s="7">
        <f>SUM($E$2:E18)+C18</f>
        <v>3.0625</v>
      </c>
    </row>
    <row r="19" spans="1:10" x14ac:dyDescent="0.3">
      <c r="A19" s="3" t="s">
        <v>7</v>
      </c>
      <c r="B19" s="3">
        <v>3903</v>
      </c>
      <c r="C19" s="7">
        <f t="shared" si="0"/>
        <v>2</v>
      </c>
      <c r="D19" s="7">
        <f t="shared" si="1"/>
        <v>2</v>
      </c>
      <c r="E19" s="7">
        <f t="shared" si="4"/>
        <v>6.25E-2</v>
      </c>
      <c r="F19" s="7">
        <f>SUM($E$2:E19)+C19</f>
        <v>3.125</v>
      </c>
    </row>
    <row r="20" spans="1:10" x14ac:dyDescent="0.3">
      <c r="A20" s="3" t="s">
        <v>7</v>
      </c>
      <c r="B20" s="3">
        <v>200</v>
      </c>
      <c r="C20" s="7">
        <f t="shared" si="0"/>
        <v>2</v>
      </c>
      <c r="D20" s="7">
        <f t="shared" si="1"/>
        <v>3</v>
      </c>
      <c r="E20" s="7">
        <f t="shared" si="4"/>
        <v>6.25E-2</v>
      </c>
      <c r="F20" s="7">
        <f>SUM($E$2:E20)+C20</f>
        <v>3.1875</v>
      </c>
    </row>
    <row r="21" spans="1:10" x14ac:dyDescent="0.3">
      <c r="A21" s="3" t="s">
        <v>7</v>
      </c>
      <c r="B21" s="3">
        <v>999</v>
      </c>
      <c r="C21" s="7">
        <f t="shared" si="0"/>
        <v>2</v>
      </c>
      <c r="D21" s="7">
        <f t="shared" si="1"/>
        <v>4</v>
      </c>
      <c r="E21" s="7">
        <f t="shared" si="4"/>
        <v>6.25E-2</v>
      </c>
      <c r="F21" s="7">
        <f>SUM($E$2:E21)+C21</f>
        <v>3.25</v>
      </c>
    </row>
    <row r="22" spans="1:10" x14ac:dyDescent="0.3">
      <c r="A22" s="3" t="s">
        <v>7</v>
      </c>
      <c r="B22" s="3">
        <v>3925</v>
      </c>
      <c r="C22" s="7">
        <f t="shared" si="0"/>
        <v>2</v>
      </c>
      <c r="D22" s="7">
        <f t="shared" si="1"/>
        <v>5</v>
      </c>
      <c r="E22" s="7">
        <f t="shared" si="4"/>
        <v>6.25E-2</v>
      </c>
      <c r="F22" s="7">
        <f>SUM($E$2:E22)+C22</f>
        <v>3.3125</v>
      </c>
    </row>
    <row r="23" spans="1:10" x14ac:dyDescent="0.3">
      <c r="A23" s="3" t="s">
        <v>7</v>
      </c>
      <c r="B23" s="3">
        <v>5178</v>
      </c>
      <c r="C23" s="7">
        <f t="shared" si="0"/>
        <v>2</v>
      </c>
      <c r="D23" s="7">
        <f t="shared" si="1"/>
        <v>6</v>
      </c>
      <c r="E23" s="7">
        <f t="shared" si="4"/>
        <v>6.25E-2</v>
      </c>
      <c r="F23" s="7">
        <f>SUM($E$2:E23)+C23</f>
        <v>3.375</v>
      </c>
    </row>
    <row r="24" spans="1:10" x14ac:dyDescent="0.3">
      <c r="A24" s="3" t="s">
        <v>7</v>
      </c>
      <c r="B24" s="3">
        <v>9417</v>
      </c>
      <c r="C24" s="7">
        <f t="shared" si="0"/>
        <v>2</v>
      </c>
      <c r="D24" s="7">
        <f t="shared" si="1"/>
        <v>7</v>
      </c>
      <c r="E24" s="7">
        <f t="shared" si="4"/>
        <v>6.25E-2</v>
      </c>
      <c r="F24" s="7">
        <f>SUM($E$2:E24)+C24</f>
        <v>3.4375</v>
      </c>
    </row>
    <row r="25" spans="1:10" x14ac:dyDescent="0.3">
      <c r="A25" s="3" t="s">
        <v>7</v>
      </c>
      <c r="B25" s="3">
        <v>2363</v>
      </c>
      <c r="C25" s="7">
        <f t="shared" si="0"/>
        <v>2</v>
      </c>
      <c r="D25" s="7">
        <f t="shared" si="1"/>
        <v>8</v>
      </c>
      <c r="E25" s="7">
        <f t="shared" si="4"/>
        <v>6.25E-2</v>
      </c>
      <c r="F25" s="7">
        <f>SUM($E$2:E25)+C25</f>
        <v>3.5</v>
      </c>
      <c r="I25" s="4" t="s">
        <v>14</v>
      </c>
      <c r="J25" s="1" t="s">
        <v>16</v>
      </c>
    </row>
    <row r="26" spans="1:10" x14ac:dyDescent="0.3">
      <c r="A26" s="3" t="s">
        <v>7</v>
      </c>
      <c r="B26" s="3">
        <v>1879</v>
      </c>
      <c r="C26" s="7">
        <f t="shared" si="0"/>
        <v>2</v>
      </c>
      <c r="D26" s="7">
        <f t="shared" si="1"/>
        <v>9</v>
      </c>
      <c r="E26" s="7">
        <f t="shared" si="4"/>
        <v>6.25E-2</v>
      </c>
      <c r="F26" s="7">
        <f>SUM($E$2:E26)+C26</f>
        <v>3.5625</v>
      </c>
      <c r="I26" s="1" t="s">
        <v>2</v>
      </c>
      <c r="J26" s="5">
        <v>4636</v>
      </c>
    </row>
    <row r="27" spans="1:10" x14ac:dyDescent="0.3">
      <c r="A27" s="3" t="s">
        <v>7</v>
      </c>
      <c r="B27" s="3">
        <v>4417</v>
      </c>
      <c r="C27" s="7">
        <f t="shared" si="0"/>
        <v>2</v>
      </c>
      <c r="D27" s="7">
        <f t="shared" si="1"/>
        <v>10</v>
      </c>
      <c r="E27" s="7">
        <f t="shared" si="4"/>
        <v>6.25E-2</v>
      </c>
      <c r="F27" s="7">
        <f>SUM($E$2:E27)+C27</f>
        <v>3.625</v>
      </c>
      <c r="I27" s="1" t="s">
        <v>4</v>
      </c>
      <c r="J27" s="5">
        <v>5348.0625</v>
      </c>
    </row>
    <row r="28" spans="1:10" x14ac:dyDescent="0.3">
      <c r="A28" s="3" t="s">
        <v>7</v>
      </c>
      <c r="B28" s="3">
        <v>8066</v>
      </c>
      <c r="C28" s="7">
        <f t="shared" si="0"/>
        <v>2</v>
      </c>
      <c r="D28" s="7">
        <f t="shared" si="1"/>
        <v>11</v>
      </c>
      <c r="E28" s="7">
        <f t="shared" si="4"/>
        <v>6.25E-2</v>
      </c>
      <c r="F28" s="7">
        <f>SUM($E$2:E28)+C28</f>
        <v>3.6875</v>
      </c>
      <c r="I28" s="1" t="s">
        <v>5</v>
      </c>
      <c r="J28" s="5">
        <v>3987.3571428571427</v>
      </c>
    </row>
    <row r="29" spans="1:10" x14ac:dyDescent="0.3">
      <c r="A29" s="3" t="s">
        <v>7</v>
      </c>
      <c r="B29" s="3">
        <v>5933</v>
      </c>
      <c r="C29" s="7">
        <f t="shared" si="0"/>
        <v>2</v>
      </c>
      <c r="D29" s="7">
        <f t="shared" si="1"/>
        <v>12</v>
      </c>
      <c r="E29" s="7">
        <f t="shared" si="4"/>
        <v>6.25E-2</v>
      </c>
      <c r="F29" s="7">
        <f>SUM($E$2:E29)+C29</f>
        <v>3.75</v>
      </c>
      <c r="I29" s="1" t="s">
        <v>6</v>
      </c>
      <c r="J29" s="5">
        <v>5952.6153846153848</v>
      </c>
    </row>
    <row r="30" spans="1:10" x14ac:dyDescent="0.3">
      <c r="A30" s="3" t="s">
        <v>7</v>
      </c>
      <c r="B30" s="3">
        <v>8818</v>
      </c>
      <c r="C30" s="7">
        <f t="shared" si="0"/>
        <v>2</v>
      </c>
      <c r="D30" s="7">
        <f t="shared" si="1"/>
        <v>13</v>
      </c>
      <c r="E30" s="7">
        <f t="shared" si="4"/>
        <v>6.25E-2</v>
      </c>
      <c r="F30" s="7">
        <f>SUM($E$2:E30)+C30</f>
        <v>3.8125</v>
      </c>
      <c r="I30" s="1" t="s">
        <v>15</v>
      </c>
      <c r="J30" s="5">
        <v>4965.2881355932204</v>
      </c>
    </row>
    <row r="31" spans="1:10" x14ac:dyDescent="0.3">
      <c r="A31" s="3" t="s">
        <v>7</v>
      </c>
      <c r="B31" s="3">
        <v>8190</v>
      </c>
      <c r="C31" s="7">
        <f t="shared" si="0"/>
        <v>2</v>
      </c>
      <c r="D31" s="7">
        <f t="shared" si="1"/>
        <v>14</v>
      </c>
      <c r="E31" s="7">
        <f t="shared" si="4"/>
        <v>6.25E-2</v>
      </c>
      <c r="F31" s="7">
        <f>SUM($E$2:E31)+C31</f>
        <v>3.875</v>
      </c>
    </row>
    <row r="32" spans="1:10" x14ac:dyDescent="0.3">
      <c r="A32" s="3" t="s">
        <v>7</v>
      </c>
      <c r="B32" s="3">
        <v>8715</v>
      </c>
      <c r="C32" s="7">
        <f t="shared" si="0"/>
        <v>2</v>
      </c>
      <c r="D32" s="7">
        <f t="shared" si="1"/>
        <v>15</v>
      </c>
      <c r="E32" s="7">
        <f t="shared" si="4"/>
        <v>6.25E-2</v>
      </c>
      <c r="F32" s="7">
        <f>SUM($E$2:E32)+C32</f>
        <v>3.9375</v>
      </c>
    </row>
    <row r="33" spans="1:6" x14ac:dyDescent="0.3">
      <c r="A33" s="3" t="s">
        <v>7</v>
      </c>
      <c r="B33" s="3">
        <v>4990</v>
      </c>
      <c r="C33" s="7">
        <f t="shared" si="0"/>
        <v>2</v>
      </c>
      <c r="D33" s="7">
        <f t="shared" si="1"/>
        <v>16</v>
      </c>
      <c r="E33" s="7">
        <f t="shared" si="4"/>
        <v>6.25E-2</v>
      </c>
      <c r="F33" s="7">
        <f>SUM($E$2:E33)+C33</f>
        <v>4</v>
      </c>
    </row>
    <row r="34" spans="1:6" x14ac:dyDescent="0.3">
      <c r="A34" s="3" t="s">
        <v>5</v>
      </c>
      <c r="B34" s="3">
        <v>1110</v>
      </c>
      <c r="C34" s="7">
        <f t="shared" si="0"/>
        <v>3</v>
      </c>
      <c r="D34" s="7">
        <f t="shared" si="1"/>
        <v>1</v>
      </c>
      <c r="E34" s="7">
        <f t="shared" si="4"/>
        <v>7.1428571428571425E-2</v>
      </c>
      <c r="F34" s="7">
        <f>SUM($E$2:E34)+C34</f>
        <v>5.0714285714285712</v>
      </c>
    </row>
    <row r="35" spans="1:6" x14ac:dyDescent="0.3">
      <c r="A35" s="3" t="s">
        <v>5</v>
      </c>
      <c r="B35" s="3">
        <v>9430</v>
      </c>
      <c r="C35" s="7">
        <f t="shared" si="0"/>
        <v>3</v>
      </c>
      <c r="D35" s="7">
        <f t="shared" si="1"/>
        <v>2</v>
      </c>
      <c r="E35" s="7">
        <f t="shared" si="4"/>
        <v>7.1428571428571425E-2</v>
      </c>
      <c r="F35" s="7">
        <f>SUM($E$2:E35)+C35</f>
        <v>5.1428571428571432</v>
      </c>
    </row>
    <row r="36" spans="1:6" x14ac:dyDescent="0.3">
      <c r="A36" s="3" t="s">
        <v>5</v>
      </c>
      <c r="B36" s="3">
        <v>5247</v>
      </c>
      <c r="C36" s="7">
        <f t="shared" si="0"/>
        <v>3</v>
      </c>
      <c r="D36" s="7">
        <f t="shared" si="1"/>
        <v>3</v>
      </c>
      <c r="E36" s="7">
        <f t="shared" si="4"/>
        <v>7.1428571428571425E-2</v>
      </c>
      <c r="F36" s="7">
        <f>SUM($E$2:E36)+C36</f>
        <v>5.2142857142857153</v>
      </c>
    </row>
    <row r="37" spans="1:6" x14ac:dyDescent="0.3">
      <c r="A37" s="3" t="s">
        <v>5</v>
      </c>
      <c r="B37" s="3">
        <v>5281</v>
      </c>
      <c r="C37" s="7">
        <f t="shared" si="0"/>
        <v>3</v>
      </c>
      <c r="D37" s="7">
        <f t="shared" si="1"/>
        <v>4</v>
      </c>
      <c r="E37" s="7">
        <f t="shared" si="4"/>
        <v>7.1428571428571425E-2</v>
      </c>
      <c r="F37" s="7">
        <f>SUM($E$2:E37)+C37</f>
        <v>5.2857142857142865</v>
      </c>
    </row>
    <row r="38" spans="1:6" x14ac:dyDescent="0.3">
      <c r="A38" s="3" t="s">
        <v>5</v>
      </c>
      <c r="B38" s="3">
        <v>8321</v>
      </c>
      <c r="C38" s="7">
        <f t="shared" si="0"/>
        <v>3</v>
      </c>
      <c r="D38" s="7">
        <f t="shared" si="1"/>
        <v>5</v>
      </c>
      <c r="E38" s="7">
        <f t="shared" si="4"/>
        <v>7.1428571428571425E-2</v>
      </c>
      <c r="F38" s="7">
        <f>SUM($E$2:E38)+C38</f>
        <v>5.3571428571428577</v>
      </c>
    </row>
    <row r="39" spans="1:6" x14ac:dyDescent="0.3">
      <c r="A39" s="3" t="s">
        <v>5</v>
      </c>
      <c r="B39" s="3">
        <v>5516</v>
      </c>
      <c r="C39" s="7">
        <f t="shared" si="0"/>
        <v>3</v>
      </c>
      <c r="D39" s="7">
        <f t="shared" si="1"/>
        <v>6</v>
      </c>
      <c r="E39" s="7">
        <f t="shared" si="4"/>
        <v>7.1428571428571425E-2</v>
      </c>
      <c r="F39" s="7">
        <f>SUM($E$2:E39)+C39</f>
        <v>5.4285714285714297</v>
      </c>
    </row>
    <row r="40" spans="1:6" x14ac:dyDescent="0.3">
      <c r="A40" s="3" t="s">
        <v>5</v>
      </c>
      <c r="B40" s="3">
        <v>2077</v>
      </c>
      <c r="C40" s="7">
        <f t="shared" si="0"/>
        <v>3</v>
      </c>
      <c r="D40" s="7">
        <f t="shared" si="1"/>
        <v>7</v>
      </c>
      <c r="E40" s="7">
        <f t="shared" si="4"/>
        <v>7.1428571428571425E-2</v>
      </c>
      <c r="F40" s="7">
        <f>SUM($E$2:E40)+C40</f>
        <v>5.5000000000000018</v>
      </c>
    </row>
    <row r="41" spans="1:6" x14ac:dyDescent="0.3">
      <c r="A41" s="3" t="s">
        <v>5</v>
      </c>
      <c r="B41" s="3">
        <v>234</v>
      </c>
      <c r="C41" s="7">
        <f t="shared" si="0"/>
        <v>3</v>
      </c>
      <c r="D41" s="7">
        <f t="shared" si="1"/>
        <v>8</v>
      </c>
      <c r="E41" s="7">
        <f t="shared" si="4"/>
        <v>7.1428571428571425E-2</v>
      </c>
      <c r="F41" s="7">
        <f>SUM($E$2:E41)+C41</f>
        <v>5.571428571428573</v>
      </c>
    </row>
    <row r="42" spans="1:6" x14ac:dyDescent="0.3">
      <c r="A42" s="3" t="s">
        <v>5</v>
      </c>
      <c r="B42" s="3">
        <v>9736</v>
      </c>
      <c r="C42" s="7">
        <f t="shared" si="0"/>
        <v>3</v>
      </c>
      <c r="D42" s="7">
        <f t="shared" si="1"/>
        <v>9</v>
      </c>
      <c r="E42" s="7">
        <f t="shared" si="4"/>
        <v>7.1428571428571425E-2</v>
      </c>
      <c r="F42" s="7">
        <f>SUM($E$2:E42)+C42</f>
        <v>5.6428571428571441</v>
      </c>
    </row>
    <row r="43" spans="1:6" x14ac:dyDescent="0.3">
      <c r="A43" s="3" t="s">
        <v>5</v>
      </c>
      <c r="B43" s="3">
        <v>432</v>
      </c>
      <c r="C43" s="7">
        <f t="shared" si="0"/>
        <v>3</v>
      </c>
      <c r="D43" s="7">
        <f t="shared" si="1"/>
        <v>10</v>
      </c>
      <c r="E43" s="7">
        <f t="shared" si="4"/>
        <v>7.1428571428571425E-2</v>
      </c>
      <c r="F43" s="7">
        <f>SUM($E$2:E43)+C43</f>
        <v>5.7142857142857162</v>
      </c>
    </row>
    <row r="44" spans="1:6" x14ac:dyDescent="0.3">
      <c r="A44" s="3" t="s">
        <v>5</v>
      </c>
      <c r="B44" s="3">
        <v>1759</v>
      </c>
      <c r="C44" s="7">
        <f t="shared" si="0"/>
        <v>3</v>
      </c>
      <c r="D44" s="7">
        <f t="shared" si="1"/>
        <v>11</v>
      </c>
      <c r="E44" s="7">
        <f t="shared" si="4"/>
        <v>7.1428571428571425E-2</v>
      </c>
      <c r="F44" s="7">
        <f>SUM($E$2:E44)+C44</f>
        <v>5.7857142857142883</v>
      </c>
    </row>
    <row r="45" spans="1:6" x14ac:dyDescent="0.3">
      <c r="A45" s="3" t="s">
        <v>5</v>
      </c>
      <c r="B45" s="3">
        <v>2167</v>
      </c>
      <c r="C45" s="7">
        <f t="shared" si="0"/>
        <v>3</v>
      </c>
      <c r="D45" s="7">
        <f t="shared" si="1"/>
        <v>12</v>
      </c>
      <c r="E45" s="7">
        <f t="shared" si="4"/>
        <v>7.1428571428571425E-2</v>
      </c>
      <c r="F45" s="7">
        <f>SUM($E$2:E45)+C45</f>
        <v>5.8571428571428594</v>
      </c>
    </row>
    <row r="46" spans="1:6" x14ac:dyDescent="0.3">
      <c r="A46" s="3" t="s">
        <v>5</v>
      </c>
      <c r="B46" s="3">
        <v>2169</v>
      </c>
      <c r="C46" s="7">
        <f t="shared" si="0"/>
        <v>3</v>
      </c>
      <c r="D46" s="7">
        <f t="shared" si="1"/>
        <v>13</v>
      </c>
      <c r="E46" s="7">
        <f t="shared" si="4"/>
        <v>7.1428571428571425E-2</v>
      </c>
      <c r="F46" s="7">
        <f>SUM($E$2:E46)+C46</f>
        <v>5.9285714285714306</v>
      </c>
    </row>
    <row r="47" spans="1:6" x14ac:dyDescent="0.3">
      <c r="A47" s="3" t="s">
        <v>5</v>
      </c>
      <c r="B47" s="3">
        <v>2344</v>
      </c>
      <c r="C47" s="7">
        <f t="shared" si="0"/>
        <v>3</v>
      </c>
      <c r="D47" s="7">
        <f t="shared" si="1"/>
        <v>14</v>
      </c>
      <c r="E47" s="7">
        <f t="shared" si="4"/>
        <v>7.1428571428571425E-2</v>
      </c>
      <c r="F47" s="7">
        <f>SUM($E$2:E47)+C47</f>
        <v>6.0000000000000027</v>
      </c>
    </row>
    <row r="48" spans="1:6" x14ac:dyDescent="0.3">
      <c r="A48" s="3" t="s">
        <v>6</v>
      </c>
      <c r="B48" s="3">
        <v>5096</v>
      </c>
      <c r="C48" s="7">
        <f t="shared" si="0"/>
        <v>4</v>
      </c>
      <c r="D48" s="7">
        <f t="shared" si="1"/>
        <v>1</v>
      </c>
      <c r="E48" s="7">
        <f t="shared" si="4"/>
        <v>7.6923076923076927E-2</v>
      </c>
      <c r="F48" s="7">
        <f>SUM($E$2:E48)+C48</f>
        <v>7.0769230769230802</v>
      </c>
    </row>
    <row r="49" spans="1:6" x14ac:dyDescent="0.3">
      <c r="A49" s="3" t="s">
        <v>6</v>
      </c>
      <c r="B49" s="3">
        <v>2102</v>
      </c>
      <c r="C49" s="7">
        <f t="shared" si="0"/>
        <v>4</v>
      </c>
      <c r="D49" s="7">
        <f t="shared" si="1"/>
        <v>2</v>
      </c>
      <c r="E49" s="7">
        <f t="shared" si="4"/>
        <v>7.6923076923076927E-2</v>
      </c>
      <c r="F49" s="7">
        <f>SUM($E$2:E49)+C49</f>
        <v>7.1538461538461569</v>
      </c>
    </row>
    <row r="50" spans="1:6" x14ac:dyDescent="0.3">
      <c r="A50" s="3" t="s">
        <v>6</v>
      </c>
      <c r="B50" s="3">
        <v>8772</v>
      </c>
      <c r="C50" s="7">
        <f t="shared" si="0"/>
        <v>4</v>
      </c>
      <c r="D50" s="7">
        <f t="shared" si="1"/>
        <v>3</v>
      </c>
      <c r="E50" s="7">
        <f t="shared" si="4"/>
        <v>7.6923076923076927E-2</v>
      </c>
      <c r="F50" s="7">
        <f>SUM($E$2:E50)+C50</f>
        <v>7.2307692307692335</v>
      </c>
    </row>
    <row r="51" spans="1:6" x14ac:dyDescent="0.3">
      <c r="A51" s="3" t="s">
        <v>6</v>
      </c>
      <c r="B51" s="3">
        <v>7854</v>
      </c>
      <c r="C51" s="7">
        <f t="shared" si="0"/>
        <v>4</v>
      </c>
      <c r="D51" s="7">
        <f t="shared" si="1"/>
        <v>4</v>
      </c>
      <c r="E51" s="7">
        <f t="shared" si="4"/>
        <v>7.6923076923076927E-2</v>
      </c>
      <c r="F51" s="7">
        <f>SUM($E$2:E51)+C51</f>
        <v>7.307692307692311</v>
      </c>
    </row>
    <row r="52" spans="1:6" x14ac:dyDescent="0.3">
      <c r="A52" s="3" t="s">
        <v>6</v>
      </c>
      <c r="B52" s="3">
        <v>7040</v>
      </c>
      <c r="C52" s="7">
        <f t="shared" si="0"/>
        <v>4</v>
      </c>
      <c r="D52" s="7">
        <f t="shared" si="1"/>
        <v>5</v>
      </c>
      <c r="E52" s="7">
        <f t="shared" si="4"/>
        <v>7.6923076923076927E-2</v>
      </c>
      <c r="F52" s="7">
        <f>SUM($E$2:E52)+C52</f>
        <v>7.3846153846153886</v>
      </c>
    </row>
    <row r="53" spans="1:6" x14ac:dyDescent="0.3">
      <c r="A53" s="3" t="s">
        <v>6</v>
      </c>
      <c r="B53" s="3">
        <v>6043</v>
      </c>
      <c r="C53" s="7">
        <f t="shared" si="0"/>
        <v>4</v>
      </c>
      <c r="D53" s="7">
        <f t="shared" si="1"/>
        <v>6</v>
      </c>
      <c r="E53" s="7">
        <f t="shared" si="4"/>
        <v>7.6923076923076927E-2</v>
      </c>
      <c r="F53" s="7">
        <f>SUM($E$2:E53)+C53</f>
        <v>7.4615384615384652</v>
      </c>
    </row>
    <row r="54" spans="1:6" x14ac:dyDescent="0.3">
      <c r="A54" s="3" t="s">
        <v>6</v>
      </c>
      <c r="B54" s="3">
        <v>8179</v>
      </c>
      <c r="C54" s="7">
        <f t="shared" si="0"/>
        <v>4</v>
      </c>
      <c r="D54" s="7">
        <f t="shared" si="1"/>
        <v>7</v>
      </c>
      <c r="E54" s="7">
        <f t="shared" si="4"/>
        <v>7.6923076923076927E-2</v>
      </c>
      <c r="F54" s="7">
        <f>SUM($E$2:E54)+C54</f>
        <v>7.5384615384615419</v>
      </c>
    </row>
    <row r="55" spans="1:6" x14ac:dyDescent="0.3">
      <c r="A55" s="3" t="s">
        <v>6</v>
      </c>
      <c r="B55" s="3">
        <v>1722</v>
      </c>
      <c r="C55" s="7">
        <f t="shared" si="0"/>
        <v>4</v>
      </c>
      <c r="D55" s="7">
        <f t="shared" si="1"/>
        <v>8</v>
      </c>
      <c r="E55" s="7">
        <f t="shared" si="4"/>
        <v>7.6923076923076927E-2</v>
      </c>
      <c r="F55" s="7">
        <f>SUM($E$2:E55)+C55</f>
        <v>7.6153846153846194</v>
      </c>
    </row>
    <row r="56" spans="1:6" x14ac:dyDescent="0.3">
      <c r="A56" s="3" t="s">
        <v>6</v>
      </c>
      <c r="B56" s="3">
        <v>2159</v>
      </c>
      <c r="C56" s="7">
        <f t="shared" si="0"/>
        <v>4</v>
      </c>
      <c r="D56" s="7">
        <f t="shared" si="1"/>
        <v>9</v>
      </c>
      <c r="E56" s="7">
        <f t="shared" si="4"/>
        <v>7.6923076923076927E-2</v>
      </c>
      <c r="F56" s="7">
        <f>SUM($E$2:E56)+C56</f>
        <v>7.692307692307697</v>
      </c>
    </row>
    <row r="57" spans="1:6" x14ac:dyDescent="0.3">
      <c r="A57" s="3" t="s">
        <v>6</v>
      </c>
      <c r="B57" s="3">
        <v>8415</v>
      </c>
      <c r="C57" s="7">
        <f t="shared" si="0"/>
        <v>4</v>
      </c>
      <c r="D57" s="7">
        <f t="shared" si="1"/>
        <v>10</v>
      </c>
      <c r="E57" s="7">
        <f t="shared" si="4"/>
        <v>7.6923076923076927E-2</v>
      </c>
      <c r="F57" s="7">
        <f>SUM($E$2:E57)+C57</f>
        <v>7.7692307692307736</v>
      </c>
    </row>
    <row r="58" spans="1:6" x14ac:dyDescent="0.3">
      <c r="A58" s="3" t="s">
        <v>6</v>
      </c>
      <c r="B58" s="3">
        <v>8653</v>
      </c>
      <c r="C58" s="7">
        <f t="shared" si="0"/>
        <v>4</v>
      </c>
      <c r="D58" s="7">
        <f t="shared" si="1"/>
        <v>11</v>
      </c>
      <c r="E58" s="7">
        <f t="shared" si="4"/>
        <v>7.6923076923076927E-2</v>
      </c>
      <c r="F58" s="7">
        <f>SUM($E$2:E58)+C58</f>
        <v>7.8461538461538503</v>
      </c>
    </row>
    <row r="59" spans="1:6" x14ac:dyDescent="0.3">
      <c r="A59" s="3" t="s">
        <v>6</v>
      </c>
      <c r="B59" s="3">
        <v>9596</v>
      </c>
      <c r="C59" s="7">
        <f t="shared" si="0"/>
        <v>4</v>
      </c>
      <c r="D59" s="7">
        <f t="shared" si="1"/>
        <v>12</v>
      </c>
      <c r="E59" s="7">
        <f t="shared" si="4"/>
        <v>7.6923076923076927E-2</v>
      </c>
      <c r="F59" s="7">
        <f>SUM($E$2:E59)+C59</f>
        <v>7.9230769230769278</v>
      </c>
    </row>
    <row r="60" spans="1:6" x14ac:dyDescent="0.3">
      <c r="A60" s="3" t="s">
        <v>6</v>
      </c>
      <c r="B60" s="3">
        <v>1753</v>
      </c>
      <c r="C60" s="7">
        <f t="shared" si="0"/>
        <v>4</v>
      </c>
      <c r="D60" s="7">
        <f t="shared" si="1"/>
        <v>13</v>
      </c>
      <c r="E60" s="7">
        <f t="shared" si="4"/>
        <v>7.6923076923076927E-2</v>
      </c>
      <c r="F60" s="7">
        <f>SUM($E$2:E60)+C60</f>
        <v>8.0000000000000036</v>
      </c>
    </row>
    <row r="61" spans="1:6" x14ac:dyDescent="0.3">
      <c r="D61" s="1" t="s">
        <v>9</v>
      </c>
      <c r="E61" s="1" t="s">
        <v>12</v>
      </c>
    </row>
  </sheetData>
  <phoneticPr fontId="1" type="noConversion"/>
  <pageMargins left="0.7" right="0.7" top="0.75" bottom="0.75" header="0.3" footer="0.3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厚冰 张</dc:creator>
  <cp:lastModifiedBy>厚冰 张</cp:lastModifiedBy>
  <dcterms:created xsi:type="dcterms:W3CDTF">2024-07-24T06:42:30Z</dcterms:created>
  <dcterms:modified xsi:type="dcterms:W3CDTF">2024-07-24T08:55:10Z</dcterms:modified>
</cp:coreProperties>
</file>